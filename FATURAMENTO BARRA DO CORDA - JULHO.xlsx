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JAIRON\BARRA DO CORDA PROJETO\"/>
    </mc:Choice>
  </mc:AlternateContent>
  <xr:revisionPtr revIDLastSave="0" documentId="13_ncr:1_{5A28C5B7-10FB-47AA-BE15-E4436480F4CF}" xr6:coauthVersionLast="47" xr6:coauthVersionMax="47" xr10:uidLastSave="{00000000-0000-0000-0000-000000000000}"/>
  <bookViews>
    <workbookView xWindow="-120" yWindow="-120" windowWidth="29040" windowHeight="15720" firstSheet="1" activeTab="2" xr2:uid="{8F31BE80-9032-4E5A-8DBE-88CF5640D5C7}"/>
  </bookViews>
  <sheets>
    <sheet name="FATURAMENTO" sheetId="1" r:id="rId1"/>
    <sheet name="Planilha1" sheetId="7" r:id="rId2"/>
    <sheet name="META" sheetId="4" r:id="rId3"/>
    <sheet name="PERFORMANCE" sheetId="5" r:id="rId4"/>
    <sheet name="Planilha2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5" l="1"/>
  <c r="H241" i="4"/>
  <c r="G241" i="4"/>
  <c r="F241" i="4"/>
  <c r="E241" i="4"/>
  <c r="D241" i="4"/>
  <c r="C241" i="4"/>
  <c r="B241" i="4"/>
  <c r="H239" i="4"/>
  <c r="G239" i="4"/>
  <c r="F239" i="4"/>
  <c r="E239" i="4"/>
  <c r="D239" i="4"/>
  <c r="C239" i="4"/>
  <c r="B239" i="4"/>
  <c r="H237" i="4"/>
  <c r="G237" i="4"/>
  <c r="F237" i="4"/>
  <c r="E237" i="4"/>
  <c r="D237" i="4"/>
  <c r="C237" i="4"/>
  <c r="B237" i="4"/>
  <c r="H235" i="4"/>
  <c r="G235" i="4"/>
  <c r="F235" i="4"/>
  <c r="E235" i="4"/>
  <c r="D235" i="4"/>
  <c r="C235" i="4"/>
  <c r="B235" i="4"/>
  <c r="H222" i="4"/>
  <c r="G222" i="4"/>
  <c r="F222" i="4"/>
  <c r="E222" i="4"/>
  <c r="D222" i="4"/>
  <c r="C222" i="4"/>
  <c r="B222" i="4"/>
  <c r="H220" i="4"/>
  <c r="G220" i="4"/>
  <c r="F220" i="4"/>
  <c r="E220" i="4"/>
  <c r="D220" i="4"/>
  <c r="C220" i="4"/>
  <c r="B220" i="4"/>
  <c r="H218" i="4"/>
  <c r="G218" i="4"/>
  <c r="F218" i="4"/>
  <c r="E218" i="4"/>
  <c r="D218" i="4"/>
  <c r="C218" i="4"/>
  <c r="B218" i="4"/>
  <c r="H216" i="4"/>
  <c r="G216" i="4"/>
  <c r="F216" i="4"/>
  <c r="E216" i="4"/>
  <c r="D216" i="4"/>
  <c r="C216" i="4"/>
  <c r="B216" i="4"/>
  <c r="H203" i="4"/>
  <c r="G203" i="4"/>
  <c r="F203" i="4"/>
  <c r="E203" i="4"/>
  <c r="D203" i="4"/>
  <c r="C203" i="4"/>
  <c r="B203" i="4"/>
  <c r="H201" i="4"/>
  <c r="G201" i="4"/>
  <c r="F201" i="4"/>
  <c r="E201" i="4"/>
  <c r="D201" i="4"/>
  <c r="C201" i="4"/>
  <c r="B201" i="4"/>
  <c r="H199" i="4"/>
  <c r="G199" i="4"/>
  <c r="F199" i="4"/>
  <c r="E199" i="4"/>
  <c r="D199" i="4"/>
  <c r="C199" i="4"/>
  <c r="B199" i="4"/>
  <c r="H197" i="4"/>
  <c r="G197" i="4"/>
  <c r="F197" i="4"/>
  <c r="E197" i="4"/>
  <c r="D197" i="4"/>
  <c r="C197" i="4"/>
  <c r="B197" i="4"/>
  <c r="H184" i="4"/>
  <c r="G184" i="4"/>
  <c r="F184" i="4"/>
  <c r="E184" i="4"/>
  <c r="D184" i="4"/>
  <c r="C184" i="4"/>
  <c r="B184" i="4"/>
  <c r="H182" i="4"/>
  <c r="G182" i="4"/>
  <c r="F182" i="4"/>
  <c r="E182" i="4"/>
  <c r="D182" i="4"/>
  <c r="C182" i="4"/>
  <c r="B182" i="4"/>
  <c r="H180" i="4"/>
  <c r="G180" i="4"/>
  <c r="F180" i="4"/>
  <c r="E180" i="4"/>
  <c r="D180" i="4"/>
  <c r="C180" i="4"/>
  <c r="B180" i="4"/>
  <c r="H178" i="4"/>
  <c r="G178" i="4"/>
  <c r="F178" i="4"/>
  <c r="E178" i="4"/>
  <c r="D178" i="4"/>
  <c r="C178" i="4"/>
  <c r="B178" i="4"/>
  <c r="H165" i="4"/>
  <c r="G165" i="4"/>
  <c r="F165" i="4"/>
  <c r="E165" i="4"/>
  <c r="D165" i="4"/>
  <c r="C165" i="4"/>
  <c r="B165" i="4"/>
  <c r="H163" i="4"/>
  <c r="G163" i="4"/>
  <c r="F163" i="4"/>
  <c r="E163" i="4"/>
  <c r="D163" i="4"/>
  <c r="C163" i="4"/>
  <c r="B163" i="4"/>
  <c r="H161" i="4"/>
  <c r="G161" i="4"/>
  <c r="F161" i="4"/>
  <c r="E161" i="4"/>
  <c r="D161" i="4"/>
  <c r="C161" i="4"/>
  <c r="B161" i="4"/>
  <c r="H159" i="4"/>
  <c r="G159" i="4"/>
  <c r="F159" i="4"/>
  <c r="E159" i="4"/>
  <c r="D159" i="4"/>
  <c r="C159" i="4"/>
  <c r="B159" i="4"/>
  <c r="H146" i="4"/>
  <c r="G146" i="4"/>
  <c r="F146" i="4"/>
  <c r="E146" i="4"/>
  <c r="D146" i="4"/>
  <c r="C146" i="4"/>
  <c r="B146" i="4"/>
  <c r="H144" i="4"/>
  <c r="G144" i="4"/>
  <c r="F144" i="4"/>
  <c r="E144" i="4"/>
  <c r="D144" i="4"/>
  <c r="C144" i="4"/>
  <c r="B144" i="4"/>
  <c r="H142" i="4"/>
  <c r="G142" i="4"/>
  <c r="F142" i="4"/>
  <c r="E142" i="4"/>
  <c r="D142" i="4"/>
  <c r="C142" i="4"/>
  <c r="B142" i="4"/>
  <c r="H140" i="4"/>
  <c r="G140" i="4"/>
  <c r="F140" i="4"/>
  <c r="E140" i="4"/>
  <c r="D140" i="4"/>
  <c r="C140" i="4"/>
  <c r="B140" i="4"/>
  <c r="H127" i="4"/>
  <c r="G127" i="4"/>
  <c r="F127" i="4"/>
  <c r="E127" i="4"/>
  <c r="D127" i="4"/>
  <c r="C127" i="4"/>
  <c r="B127" i="4"/>
  <c r="H125" i="4"/>
  <c r="G125" i="4"/>
  <c r="F125" i="4"/>
  <c r="E125" i="4"/>
  <c r="D125" i="4"/>
  <c r="C125" i="4"/>
  <c r="B125" i="4"/>
  <c r="H123" i="4"/>
  <c r="G123" i="4"/>
  <c r="F123" i="4"/>
  <c r="E123" i="4"/>
  <c r="D123" i="4"/>
  <c r="C123" i="4"/>
  <c r="B123" i="4"/>
  <c r="H121" i="4"/>
  <c r="G121" i="4"/>
  <c r="F121" i="4"/>
  <c r="E121" i="4"/>
  <c r="D121" i="4"/>
  <c r="C121" i="4"/>
  <c r="B121" i="4"/>
  <c r="H108" i="4"/>
  <c r="G108" i="4"/>
  <c r="F108" i="4"/>
  <c r="E108" i="4"/>
  <c r="D108" i="4"/>
  <c r="C108" i="4"/>
  <c r="B108" i="4"/>
  <c r="H106" i="4"/>
  <c r="G106" i="4"/>
  <c r="F106" i="4"/>
  <c r="E106" i="4"/>
  <c r="D106" i="4"/>
  <c r="C106" i="4"/>
  <c r="B106" i="4"/>
  <c r="H104" i="4"/>
  <c r="G104" i="4"/>
  <c r="F104" i="4"/>
  <c r="E104" i="4"/>
  <c r="D104" i="4"/>
  <c r="C104" i="4"/>
  <c r="B104" i="4"/>
  <c r="H102" i="4"/>
  <c r="G102" i="4"/>
  <c r="F102" i="4"/>
  <c r="E102" i="4"/>
  <c r="D102" i="4"/>
  <c r="C102" i="4"/>
  <c r="B102" i="4"/>
  <c r="H89" i="4"/>
  <c r="G89" i="4"/>
  <c r="F89" i="4"/>
  <c r="E89" i="4"/>
  <c r="D89" i="4"/>
  <c r="C89" i="4"/>
  <c r="B89" i="4"/>
  <c r="H87" i="4"/>
  <c r="G87" i="4"/>
  <c r="F87" i="4"/>
  <c r="E87" i="4"/>
  <c r="D87" i="4"/>
  <c r="C87" i="4"/>
  <c r="B87" i="4"/>
  <c r="H85" i="4"/>
  <c r="G85" i="4"/>
  <c r="F85" i="4"/>
  <c r="E85" i="4"/>
  <c r="D85" i="4"/>
  <c r="C85" i="4"/>
  <c r="B85" i="4"/>
  <c r="H83" i="4"/>
  <c r="G83" i="4"/>
  <c r="F83" i="4"/>
  <c r="E83" i="4"/>
  <c r="D83" i="4"/>
  <c r="C83" i="4"/>
  <c r="B83" i="4"/>
  <c r="H70" i="4"/>
  <c r="G70" i="4"/>
  <c r="F70" i="4"/>
  <c r="E70" i="4"/>
  <c r="D70" i="4"/>
  <c r="C70" i="4"/>
  <c r="B70" i="4"/>
  <c r="H68" i="4"/>
  <c r="G68" i="4"/>
  <c r="F68" i="4"/>
  <c r="E68" i="4"/>
  <c r="D68" i="4"/>
  <c r="C68" i="4"/>
  <c r="B68" i="4"/>
  <c r="H66" i="4"/>
  <c r="G66" i="4"/>
  <c r="F66" i="4"/>
  <c r="E66" i="4"/>
  <c r="D66" i="4"/>
  <c r="C66" i="4"/>
  <c r="B66" i="4"/>
  <c r="H64" i="4"/>
  <c r="G64" i="4"/>
  <c r="F64" i="4"/>
  <c r="E64" i="4"/>
  <c r="D64" i="4"/>
  <c r="C64" i="4"/>
  <c r="B64" i="4"/>
  <c r="H51" i="4"/>
  <c r="G51" i="4"/>
  <c r="F51" i="4"/>
  <c r="E51" i="4"/>
  <c r="D51" i="4"/>
  <c r="C51" i="4"/>
  <c r="B51" i="4"/>
  <c r="H49" i="4"/>
  <c r="G49" i="4"/>
  <c r="F49" i="4"/>
  <c r="E49" i="4"/>
  <c r="D49" i="4"/>
  <c r="C49" i="4"/>
  <c r="B49" i="4"/>
  <c r="H47" i="4"/>
  <c r="G47" i="4"/>
  <c r="F47" i="4"/>
  <c r="E47" i="4"/>
  <c r="D47" i="4"/>
  <c r="C47" i="4"/>
  <c r="B47" i="4"/>
  <c r="H45" i="4"/>
  <c r="G45" i="4"/>
  <c r="F45" i="4"/>
  <c r="E45" i="4"/>
  <c r="D45" i="4"/>
  <c r="C45" i="4"/>
  <c r="B45" i="4"/>
  <c r="B7" i="4"/>
  <c r="C7" i="4"/>
  <c r="D7" i="4"/>
  <c r="E7" i="4"/>
  <c r="D232" i="4"/>
  <c r="E232" i="4"/>
  <c r="F232" i="4"/>
  <c r="G232" i="4"/>
  <c r="H232" i="4"/>
  <c r="C232" i="4"/>
  <c r="D213" i="4"/>
  <c r="E213" i="4"/>
  <c r="F213" i="4"/>
  <c r="G213" i="4"/>
  <c r="H213" i="4"/>
  <c r="C213" i="4"/>
  <c r="D194" i="4"/>
  <c r="E194" i="4"/>
  <c r="F194" i="4"/>
  <c r="G194" i="4"/>
  <c r="H194" i="4"/>
  <c r="C194" i="4"/>
  <c r="C156" i="4"/>
  <c r="D156" i="4"/>
  <c r="E156" i="4"/>
  <c r="F156" i="4"/>
  <c r="G156" i="4"/>
  <c r="H156" i="4"/>
  <c r="B156" i="4"/>
  <c r="C175" i="4"/>
  <c r="D175" i="4"/>
  <c r="E175" i="4"/>
  <c r="F175" i="4"/>
  <c r="G175" i="4"/>
  <c r="H175" i="4"/>
  <c r="C137" i="4"/>
  <c r="D137" i="4"/>
  <c r="E137" i="4"/>
  <c r="F137" i="4"/>
  <c r="G137" i="4"/>
  <c r="H137" i="4"/>
  <c r="B137" i="4"/>
  <c r="C118" i="4"/>
  <c r="D118" i="4"/>
  <c r="E118" i="4"/>
  <c r="F118" i="4"/>
  <c r="G118" i="4"/>
  <c r="H118" i="4"/>
  <c r="B118" i="4"/>
  <c r="C99" i="4"/>
  <c r="D99" i="4"/>
  <c r="E99" i="4"/>
  <c r="F99" i="4"/>
  <c r="G99" i="4"/>
  <c r="H99" i="4"/>
  <c r="B99" i="4"/>
  <c r="C80" i="4"/>
  <c r="D80" i="4"/>
  <c r="E80" i="4"/>
  <c r="F80" i="4"/>
  <c r="G80" i="4"/>
  <c r="H80" i="4"/>
  <c r="B80" i="4"/>
  <c r="C61" i="4"/>
  <c r="D61" i="4"/>
  <c r="E61" i="4"/>
  <c r="F61" i="4"/>
  <c r="G61" i="4"/>
  <c r="H61" i="4"/>
  <c r="B61" i="4"/>
  <c r="C42" i="4"/>
  <c r="D42" i="4"/>
  <c r="E42" i="4"/>
  <c r="F42" i="4"/>
  <c r="G42" i="4"/>
  <c r="H42" i="4"/>
  <c r="B42" i="4"/>
  <c r="H23" i="4"/>
  <c r="H26" i="4" s="1"/>
  <c r="G23" i="4"/>
  <c r="G28" i="4" s="1"/>
  <c r="F23" i="4"/>
  <c r="F26" i="4" s="1"/>
  <c r="E23" i="4"/>
  <c r="E28" i="4" s="1"/>
  <c r="C23" i="4"/>
  <c r="C28" i="4" s="1"/>
  <c r="D23" i="4"/>
  <c r="D28" i="4" s="1"/>
  <c r="B23" i="4"/>
  <c r="B30" i="4" s="1"/>
  <c r="E30" i="4" l="1"/>
  <c r="D30" i="4"/>
  <c r="E32" i="4"/>
  <c r="D32" i="4"/>
  <c r="C30" i="4"/>
  <c r="F28" i="4"/>
  <c r="H28" i="4"/>
  <c r="C32" i="4"/>
  <c r="F32" i="4"/>
  <c r="H30" i="4"/>
  <c r="H32" i="4"/>
  <c r="D26" i="4"/>
  <c r="F30" i="4"/>
  <c r="C26" i="4"/>
  <c r="E26" i="4"/>
  <c r="G30" i="4"/>
  <c r="B26" i="4"/>
  <c r="G26" i="4"/>
  <c r="B32" i="4"/>
  <c r="B28" i="4"/>
  <c r="G32" i="4"/>
  <c r="D28" i="7"/>
  <c r="C28" i="7"/>
  <c r="B189" i="4" l="1"/>
  <c r="B37" i="4"/>
  <c r="B246" i="4"/>
  <c r="B208" i="4"/>
  <c r="B94" i="4"/>
  <c r="P30" i="7"/>
  <c r="B34" i="5"/>
  <c r="C34" i="5"/>
  <c r="D30" i="5"/>
  <c r="D32" i="5"/>
  <c r="D31" i="5"/>
  <c r="D29" i="5"/>
  <c r="P29" i="7"/>
  <c r="P31" i="7"/>
  <c r="I11" i="8"/>
  <c r="H11" i="8"/>
  <c r="L26" i="8"/>
  <c r="L25" i="8"/>
  <c r="L24" i="8"/>
  <c r="L23" i="8"/>
  <c r="P17" i="7"/>
  <c r="O16" i="7"/>
  <c r="Q16" i="7" s="1"/>
  <c r="O15" i="7"/>
  <c r="Q15" i="7" s="1"/>
  <c r="O14" i="7"/>
  <c r="Q14" i="7" s="1"/>
  <c r="O13" i="7"/>
  <c r="O32" i="7"/>
  <c r="N27" i="7"/>
  <c r="P27" i="7" s="1"/>
  <c r="N26" i="7"/>
  <c r="P26" i="7" s="1"/>
  <c r="N25" i="7"/>
  <c r="P25" i="7" s="1"/>
  <c r="N24" i="7"/>
  <c r="P24" i="7" s="1"/>
  <c r="L15" i="7"/>
  <c r="B227" i="4" l="1"/>
  <c r="B170" i="4"/>
  <c r="B151" i="4"/>
  <c r="B132" i="4"/>
  <c r="B113" i="4"/>
  <c r="D34" i="5"/>
  <c r="N32" i="7"/>
  <c r="P32" i="7" s="1"/>
  <c r="O17" i="7"/>
  <c r="Q17" i="7" s="1"/>
  <c r="Q13" i="7"/>
  <c r="E25" i="7"/>
  <c r="D42" i="7"/>
  <c r="D41" i="7"/>
  <c r="D40" i="7"/>
  <c r="D39" i="7"/>
  <c r="G22" i="7"/>
  <c r="H22" i="7" s="1"/>
  <c r="I22" i="7" s="1"/>
  <c r="G21" i="7"/>
  <c r="G20" i="7"/>
  <c r="G19" i="7"/>
  <c r="E22" i="7"/>
  <c r="E23" i="7"/>
  <c r="E21" i="7"/>
  <c r="E20" i="7"/>
  <c r="E28" i="7" l="1"/>
  <c r="J22" i="7"/>
  <c r="K22" i="7" s="1"/>
  <c r="J21" i="7"/>
  <c r="K21" i="7" s="1"/>
  <c r="J20" i="7"/>
  <c r="K20" i="7" s="1"/>
  <c r="J19" i="7"/>
  <c r="K19" i="7" s="1"/>
  <c r="H19" i="7"/>
  <c r="I19" i="7" s="1"/>
  <c r="H21" i="7"/>
  <c r="I21" i="7" s="1"/>
  <c r="H20" i="7"/>
  <c r="I20" i="7" s="1"/>
  <c r="F6" i="7"/>
  <c r="F8" i="7" s="1"/>
  <c r="E32" i="7"/>
  <c r="E35" i="7"/>
  <c r="E34" i="7"/>
  <c r="E33" i="7"/>
  <c r="C9" i="7" l="1"/>
  <c r="C16" i="7"/>
  <c r="P1" i="4"/>
  <c r="Q1" i="4"/>
  <c r="D2" i="1" l="1"/>
  <c r="D64" i="1"/>
  <c r="D125" i="1"/>
  <c r="D186" i="1"/>
  <c r="D3" i="1"/>
  <c r="D65" i="1"/>
  <c r="D126" i="1"/>
  <c r="D187" i="1"/>
  <c r="D4" i="1"/>
  <c r="D66" i="1"/>
  <c r="D127" i="1"/>
  <c r="D188" i="1"/>
  <c r="D5" i="1"/>
  <c r="D67" i="1"/>
  <c r="D128" i="1"/>
  <c r="D189" i="1"/>
  <c r="D6" i="1"/>
  <c r="D68" i="1"/>
  <c r="D129" i="1"/>
  <c r="D190" i="1"/>
  <c r="D7" i="1"/>
  <c r="D69" i="1"/>
  <c r="D130" i="1"/>
  <c r="D191" i="1"/>
  <c r="D8" i="1"/>
  <c r="D70" i="1"/>
  <c r="D131" i="1"/>
  <c r="D192" i="1"/>
  <c r="D9" i="1"/>
  <c r="D71" i="1"/>
  <c r="D132" i="1"/>
  <c r="D193" i="1"/>
  <c r="D10" i="1"/>
  <c r="D72" i="1"/>
  <c r="D133" i="1"/>
  <c r="D194" i="1"/>
  <c r="D11" i="1"/>
  <c r="D73" i="1"/>
  <c r="D134" i="1"/>
  <c r="D195" i="1"/>
  <c r="D12" i="1"/>
  <c r="D74" i="1"/>
  <c r="D135" i="1"/>
  <c r="D196" i="1"/>
  <c r="D13" i="1"/>
  <c r="D75" i="1"/>
  <c r="D136" i="1"/>
  <c r="D197" i="1"/>
  <c r="D14" i="1"/>
  <c r="D76" i="1"/>
  <c r="D137" i="1"/>
  <c r="D198" i="1"/>
  <c r="D15" i="1"/>
  <c r="D77" i="1"/>
  <c r="D138" i="1"/>
  <c r="D199" i="1"/>
  <c r="D16" i="1"/>
  <c r="D78" i="1"/>
  <c r="D139" i="1"/>
  <c r="D200" i="1"/>
  <c r="D17" i="1"/>
  <c r="D79" i="1"/>
  <c r="D140" i="1"/>
  <c r="D201" i="1"/>
  <c r="D18" i="1"/>
  <c r="D80" i="1"/>
  <c r="D141" i="1"/>
  <c r="D202" i="1"/>
  <c r="D19" i="1"/>
  <c r="D81" i="1"/>
  <c r="D142" i="1"/>
  <c r="D203" i="1"/>
  <c r="D20" i="1"/>
  <c r="D82" i="1"/>
  <c r="D143" i="1"/>
  <c r="D204" i="1"/>
  <c r="D21" i="1"/>
  <c r="D83" i="1"/>
  <c r="D144" i="1"/>
  <c r="D205" i="1"/>
  <c r="D22" i="1"/>
  <c r="D84" i="1"/>
  <c r="D145" i="1"/>
  <c r="D206" i="1"/>
  <c r="D23" i="1"/>
  <c r="D85" i="1"/>
  <c r="D146" i="1"/>
  <c r="D207" i="1"/>
  <c r="D24" i="1"/>
  <c r="D86" i="1"/>
  <c r="D147" i="1"/>
  <c r="D208" i="1"/>
  <c r="D25" i="1"/>
  <c r="D87" i="1"/>
  <c r="D148" i="1"/>
  <c r="D209" i="1"/>
  <c r="D26" i="1"/>
  <c r="D88" i="1"/>
  <c r="D149" i="1"/>
  <c r="D210" i="1"/>
  <c r="D27" i="1"/>
  <c r="D89" i="1"/>
  <c r="D150" i="1"/>
  <c r="D211" i="1"/>
  <c r="D28" i="1"/>
  <c r="D90" i="1"/>
  <c r="D151" i="1"/>
  <c r="D212" i="1"/>
  <c r="D29" i="1"/>
  <c r="D91" i="1"/>
  <c r="D152" i="1"/>
  <c r="D213" i="1"/>
  <c r="D30" i="1"/>
  <c r="D92" i="1"/>
  <c r="D153" i="1"/>
  <c r="D214" i="1"/>
  <c r="D31" i="1"/>
  <c r="D93" i="1"/>
  <c r="D154" i="1"/>
  <c r="D215" i="1"/>
  <c r="D32" i="1"/>
  <c r="D216" i="1"/>
  <c r="D33" i="1"/>
  <c r="D94" i="1"/>
  <c r="D155" i="1"/>
  <c r="D217" i="1"/>
  <c r="D34" i="1"/>
  <c r="D95" i="1"/>
  <c r="D156" i="1"/>
  <c r="D218" i="1"/>
  <c r="D35" i="1"/>
  <c r="D96" i="1"/>
  <c r="D157" i="1"/>
  <c r="D219" i="1"/>
  <c r="D36" i="1"/>
  <c r="D97" i="1"/>
  <c r="D158" i="1"/>
  <c r="D220" i="1"/>
  <c r="D37" i="1"/>
  <c r="D98" i="1"/>
  <c r="D159" i="1"/>
  <c r="D221" i="1"/>
  <c r="D38" i="1"/>
  <c r="D99" i="1"/>
  <c r="D160" i="1"/>
  <c r="D222" i="1"/>
  <c r="D39" i="1"/>
  <c r="D100" i="1"/>
  <c r="D161" i="1"/>
  <c r="D223" i="1"/>
  <c r="D40" i="1"/>
  <c r="D101" i="1"/>
  <c r="D162" i="1"/>
  <c r="D224" i="1"/>
  <c r="D41" i="1"/>
  <c r="D102" i="1"/>
  <c r="D163" i="1"/>
  <c r="D225" i="1"/>
  <c r="D42" i="1"/>
  <c r="D103" i="1"/>
  <c r="D164" i="1"/>
  <c r="D226" i="1"/>
  <c r="D43" i="1"/>
  <c r="D104" i="1"/>
  <c r="D165" i="1"/>
  <c r="D227" i="1"/>
  <c r="D44" i="1"/>
  <c r="D105" i="1"/>
  <c r="D166" i="1"/>
  <c r="D228" i="1"/>
  <c r="D45" i="1"/>
  <c r="D106" i="1"/>
  <c r="D167" i="1"/>
  <c r="D229" i="1"/>
  <c r="D46" i="1"/>
  <c r="D107" i="1"/>
  <c r="D168" i="1"/>
  <c r="D230" i="1"/>
  <c r="D47" i="1"/>
  <c r="D108" i="1"/>
  <c r="D169" i="1"/>
  <c r="D231" i="1"/>
  <c r="D48" i="1"/>
  <c r="D109" i="1"/>
  <c r="D170" i="1"/>
  <c r="D232" i="1"/>
  <c r="D49" i="1"/>
  <c r="D110" i="1"/>
  <c r="D171" i="1"/>
  <c r="D233" i="1"/>
  <c r="D50" i="1"/>
  <c r="D111" i="1"/>
  <c r="D172" i="1"/>
  <c r="D234" i="1"/>
  <c r="D51" i="1"/>
  <c r="D112" i="1"/>
  <c r="D173" i="1"/>
  <c r="D235" i="1"/>
  <c r="D52" i="1"/>
  <c r="D113" i="1"/>
  <c r="D174" i="1"/>
  <c r="D236" i="1"/>
  <c r="D53" i="1"/>
  <c r="D114" i="1"/>
  <c r="D175" i="1"/>
  <c r="D237" i="1"/>
  <c r="D54" i="1"/>
  <c r="D115" i="1"/>
  <c r="D176" i="1"/>
  <c r="D238" i="1"/>
  <c r="D55" i="1"/>
  <c r="D116" i="1"/>
  <c r="D177" i="1"/>
  <c r="D239" i="1"/>
  <c r="D56" i="1"/>
  <c r="D117" i="1"/>
  <c r="D178" i="1"/>
  <c r="D240" i="1"/>
  <c r="D57" i="1"/>
  <c r="D118" i="1"/>
  <c r="D179" i="1"/>
  <c r="D241" i="1"/>
  <c r="D58" i="1"/>
  <c r="D119" i="1"/>
  <c r="D180" i="1"/>
  <c r="D242" i="1"/>
  <c r="D59" i="1"/>
  <c r="D120" i="1"/>
  <c r="D181" i="1"/>
  <c r="D243" i="1"/>
  <c r="D60" i="1"/>
  <c r="D121" i="1"/>
  <c r="D182" i="1"/>
  <c r="D244" i="1"/>
  <c r="D61" i="1"/>
  <c r="D122" i="1"/>
  <c r="D183" i="1"/>
  <c r="D245" i="1"/>
  <c r="D62" i="1"/>
  <c r="D123" i="1"/>
  <c r="D184" i="1"/>
  <c r="D246" i="1"/>
  <c r="D63" i="1"/>
  <c r="D124" i="1"/>
  <c r="D185" i="1"/>
  <c r="D247" i="1"/>
  <c r="F7" i="1"/>
  <c r="F69" i="1"/>
  <c r="F130" i="1"/>
  <c r="F191" i="1"/>
  <c r="F8" i="1"/>
  <c r="F70" i="1"/>
  <c r="F131" i="1"/>
  <c r="F192" i="1"/>
  <c r="F9" i="1"/>
  <c r="F71" i="1"/>
  <c r="F132" i="1"/>
  <c r="F193" i="1"/>
  <c r="F10" i="1"/>
  <c r="F72" i="1"/>
  <c r="F133" i="1"/>
  <c r="F194" i="1"/>
  <c r="F190" i="1"/>
  <c r="Y8" i="4"/>
  <c r="E4" i="4"/>
  <c r="B4" i="4"/>
  <c r="C4" i="4"/>
  <c r="D4" i="4"/>
  <c r="F4" i="4"/>
  <c r="G4" i="4"/>
  <c r="H4" i="4"/>
  <c r="Q3" i="4"/>
  <c r="Q4" i="4"/>
  <c r="P2" i="4"/>
  <c r="Q2" i="4" s="1"/>
  <c r="P3" i="4"/>
  <c r="P4" i="4"/>
  <c r="D9" i="4" l="1"/>
  <c r="D13" i="4"/>
  <c r="D11" i="4"/>
  <c r="G7" i="4"/>
  <c r="G11" i="4"/>
  <c r="G9" i="4"/>
  <c r="G13" i="4"/>
  <c r="C9" i="4"/>
  <c r="C13" i="4"/>
  <c r="C11" i="4"/>
  <c r="B9" i="4"/>
  <c r="B13" i="4"/>
  <c r="B11" i="4"/>
  <c r="H7" i="4"/>
  <c r="H11" i="4"/>
  <c r="H13" i="4"/>
  <c r="H9" i="4"/>
  <c r="F13" i="4"/>
  <c r="F7" i="4"/>
  <c r="F11" i="4"/>
  <c r="F9" i="4"/>
  <c r="E13" i="4"/>
  <c r="E11" i="4"/>
  <c r="E9" i="4"/>
  <c r="B75" i="4"/>
  <c r="B56" i="4"/>
  <c r="B18" i="4" l="1"/>
  <c r="F2" i="1"/>
  <c r="F3" i="1"/>
  <c r="F4" i="1"/>
  <c r="F5" i="1"/>
  <c r="F6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64" i="1"/>
  <c r="F65" i="1"/>
  <c r="F66" i="1"/>
  <c r="F67" i="1"/>
  <c r="F68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125" i="1"/>
  <c r="F126" i="1"/>
  <c r="F127" i="1"/>
  <c r="F128" i="1"/>
  <c r="F129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86" i="1"/>
  <c r="F187" i="1"/>
  <c r="F188" i="1"/>
  <c r="F189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18" i="1"/>
  <c r="E217" i="1"/>
  <c r="E219" i="1"/>
  <c r="E220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55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9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2" i="1"/>
  <c r="E3" i="1"/>
  <c r="E4" i="1"/>
  <c r="E5" i="1"/>
  <c r="E6" i="1"/>
  <c r="E7" i="1"/>
  <c r="E8" i="1"/>
  <c r="E9" i="1"/>
  <c r="E10" i="1"/>
  <c r="E11" i="1"/>
  <c r="E12" i="1"/>
  <c r="E13" i="1"/>
  <c r="E64" i="1"/>
  <c r="E15" i="1"/>
  <c r="E16" i="1"/>
  <c r="E17" i="1"/>
  <c r="E18" i="1"/>
  <c r="E19" i="1"/>
  <c r="E20" i="1"/>
  <c r="E21" i="1"/>
  <c r="E22" i="1"/>
  <c r="E23" i="1"/>
  <c r="E24" i="1"/>
  <c r="E69" i="1"/>
  <c r="E26" i="1"/>
  <c r="E27" i="1"/>
  <c r="E28" i="1"/>
  <c r="E29" i="1"/>
  <c r="E30" i="1"/>
  <c r="E31" i="1"/>
  <c r="E191" i="1"/>
  <c r="E65" i="1"/>
  <c r="E66" i="1"/>
  <c r="E67" i="1"/>
  <c r="E68" i="1"/>
  <c r="E71" i="1"/>
  <c r="E70" i="1"/>
  <c r="E193" i="1"/>
  <c r="E72" i="1"/>
  <c r="E73" i="1"/>
  <c r="E74" i="1"/>
  <c r="E75" i="1"/>
  <c r="E76" i="1"/>
  <c r="E77" i="1"/>
  <c r="E14" i="1"/>
  <c r="E79" i="1"/>
  <c r="E80" i="1"/>
  <c r="E81" i="1"/>
  <c r="E82" i="1"/>
  <c r="E198" i="1"/>
  <c r="E78" i="1"/>
  <c r="E85" i="1"/>
  <c r="E86" i="1"/>
  <c r="E87" i="1"/>
  <c r="E88" i="1"/>
  <c r="E89" i="1"/>
  <c r="E90" i="1"/>
  <c r="E91" i="1"/>
  <c r="E92" i="1"/>
  <c r="E93" i="1"/>
  <c r="E186" i="1"/>
  <c r="E187" i="1"/>
  <c r="E188" i="1"/>
  <c r="E189" i="1"/>
  <c r="E190" i="1"/>
  <c r="E83" i="1"/>
  <c r="E192" i="1"/>
  <c r="E84" i="1"/>
  <c r="E194" i="1"/>
  <c r="E195" i="1"/>
  <c r="E196" i="1"/>
  <c r="E197" i="1"/>
  <c r="E25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</calcChain>
</file>

<file path=xl/sharedStrings.xml><?xml version="1.0" encoding="utf-8"?>
<sst xmlns="http://schemas.openxmlformats.org/spreadsheetml/2006/main" count="861" uniqueCount="74">
  <si>
    <t>PDV</t>
  </si>
  <si>
    <t>DATA</t>
  </si>
  <si>
    <t>FATURAMENTO</t>
  </si>
  <si>
    <t>MÊS</t>
  </si>
  <si>
    <t>DIA DA SEMANA</t>
  </si>
  <si>
    <t>SEMANA</t>
  </si>
  <si>
    <t>ALTAMIRA</t>
  </si>
  <si>
    <t>SEMANA 1</t>
  </si>
  <si>
    <t>SEMANA 2</t>
  </si>
  <si>
    <t>SEMANA 3</t>
  </si>
  <si>
    <t>SEMANA 4</t>
  </si>
  <si>
    <t>COHAB</t>
  </si>
  <si>
    <t/>
  </si>
  <si>
    <t>INCRA</t>
  </si>
  <si>
    <t>TRIZIDELA</t>
  </si>
  <si>
    <t>FATURAMENTO AGOSTO</t>
  </si>
  <si>
    <t>FATURAMENTO JULHO</t>
  </si>
  <si>
    <t>Rótulos de Linha</t>
  </si>
  <si>
    <t>Total Geral</t>
  </si>
  <si>
    <t>DELIVERY</t>
  </si>
  <si>
    <t>VENDA EXT</t>
  </si>
  <si>
    <t>Rota Esperantinopolis</t>
  </si>
  <si>
    <t>Rota PK</t>
  </si>
  <si>
    <t>TOTAL</t>
  </si>
  <si>
    <t>FATURAMENTO B2B SETEMBRO</t>
  </si>
  <si>
    <t>REALIZADO X META MENSAL</t>
  </si>
  <si>
    <t>FATURAMENTO B2B AGOSTO</t>
  </si>
  <si>
    <t>REALIZADO</t>
  </si>
  <si>
    <t>META</t>
  </si>
  <si>
    <t>FALTA REALIZAR</t>
  </si>
  <si>
    <t>VENDA EXTERNA</t>
  </si>
  <si>
    <t>REALIZADO X META SEMANAL</t>
  </si>
  <si>
    <t>META OUTUBRO</t>
  </si>
  <si>
    <t>DOM</t>
  </si>
  <si>
    <t>SEG</t>
  </si>
  <si>
    <t>TER</t>
  </si>
  <si>
    <t>QUA</t>
  </si>
  <si>
    <t>QUI</t>
  </si>
  <si>
    <t>SEX</t>
  </si>
  <si>
    <t>SÁB</t>
  </si>
  <si>
    <t>META MENSAL</t>
  </si>
  <si>
    <t>DIAS</t>
  </si>
  <si>
    <t>SOMA</t>
  </si>
  <si>
    <t>REALIZADO PARCIAL</t>
  </si>
  <si>
    <t>VENDA DE COPOS - SETEMBRO</t>
  </si>
  <si>
    <t>VENDA DO CLUBE X NÃO CLUBE</t>
  </si>
  <si>
    <t>VENDA NÃO CLUBE</t>
  </si>
  <si>
    <t>VENDA CLUBE</t>
  </si>
  <si>
    <t>PDV ALTAMIRA</t>
  </si>
  <si>
    <t>PDV COHAB</t>
  </si>
  <si>
    <t>PDV INCRA</t>
  </si>
  <si>
    <t>PDV TRIZIDELA</t>
  </si>
  <si>
    <t>TOTAL GERAL</t>
  </si>
  <si>
    <t>NOVOS CLIENTES DO CLUBE POR SEMANA</t>
  </si>
  <si>
    <t>SEMANA 5</t>
  </si>
  <si>
    <t>MÉDIA DE CLIENTES POR 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</si>
  <si>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</si>
  <si>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</si>
  <si>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</si>
  <si>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</si>
  <si>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</si>
  <si>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</si>
  <si>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</si>
  <si>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MÉDIA GERAL</t>
  </si>
  <si>
    <t>TICKET MÉDIO POR DIA DA SEMANA</t>
  </si>
  <si>
    <t>ESPERANTINÓPOLIS</t>
  </si>
  <si>
    <t>VENDA PK</t>
  </si>
  <si>
    <t>PDV ITZ 01</t>
  </si>
  <si>
    <t>PDV ITZ 02</t>
  </si>
  <si>
    <t>PDV ITZ 04</t>
  </si>
  <si>
    <t>B2B DELIVERY ITZ</t>
  </si>
  <si>
    <t>VENDEDOR ITZ</t>
  </si>
  <si>
    <t>FATURAMENTO BARRA DO CORDA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</si>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</sst>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_-&quot;R$&quot;\ * #,##0_-;\-&quot;R$&quot;\ * #,##0_-;_-&quot;R$&quot;\ * &quot;-&quot;??_-;_-@_-"/>
    <numFmt numFmtId="166" formatCode="_-&quot;R$&quot;\ * #,##0.0_-;\-&quot;R$&quot;\ * #,##0.0_-;_-&quot;R$&quot;\ * &quot;-&quot;??_-;_-@_-"/>
    <numFmt numFmtId="167" formatCode="[$-416]d\-mmm;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83">
    <xf numFmtId="0" fontId="0" fillId="0" borderId="0" xfId="0"/>
    <xf numFmtId="44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quotePrefix="1"/>
    <xf numFmtId="49" fontId="0" fillId="0" borderId="0" xfId="0" applyNumberFormat="1"/>
    <xf numFmtId="165" fontId="1" fillId="3" borderId="1" xfId="2" applyNumberFormat="1" applyFont="1" applyFill="1" applyBorder="1" applyAlignment="1">
      <alignment horizontal="center" vertical="center"/>
    </xf>
    <xf numFmtId="165" fontId="1" fillId="4" borderId="1" xfId="2" applyNumberFormat="1" applyFont="1" applyFill="1" applyBorder="1" applyAlignment="1">
      <alignment horizontal="center" vertical="center"/>
    </xf>
    <xf numFmtId="9" fontId="1" fillId="3" borderId="1" xfId="1" applyFont="1" applyFill="1" applyBorder="1" applyAlignment="1">
      <alignment horizontal="center" vertical="center"/>
    </xf>
    <xf numFmtId="165" fontId="1" fillId="6" borderId="1" xfId="2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5" fontId="1" fillId="7" borderId="1" xfId="2" applyNumberFormat="1" applyFont="1" applyFill="1" applyBorder="1" applyAlignment="1">
      <alignment horizontal="center" vertical="center"/>
    </xf>
    <xf numFmtId="0" fontId="1" fillId="5" borderId="0" xfId="2" applyNumberFormat="1" applyFont="1" applyFill="1" applyBorder="1" applyAlignment="1">
      <alignment horizontal="center" vertical="center"/>
    </xf>
    <xf numFmtId="165" fontId="1" fillId="7" borderId="5" xfId="2" applyNumberFormat="1" applyFont="1" applyFill="1" applyBorder="1" applyAlignment="1">
      <alignment horizontal="center" vertical="center"/>
    </xf>
    <xf numFmtId="0" fontId="1" fillId="3" borderId="1" xfId="2" applyNumberFormat="1" applyFont="1" applyFill="1" applyBorder="1" applyAlignment="1">
      <alignment horizontal="center" vertical="center"/>
    </xf>
    <xf numFmtId="165" fontId="2" fillId="8" borderId="1" xfId="2" applyNumberFormat="1" applyFont="1" applyFill="1" applyBorder="1" applyAlignment="1">
      <alignment horizontal="center" vertical="center"/>
    </xf>
    <xf numFmtId="165" fontId="2" fillId="5" borderId="1" xfId="2" applyNumberFormat="1" applyFont="1" applyFill="1" applyBorder="1" applyAlignment="1">
      <alignment horizontal="center" vertical="center"/>
    </xf>
    <xf numFmtId="0" fontId="1" fillId="0" borderId="0" xfId="0" applyFont="1"/>
    <xf numFmtId="165" fontId="1" fillId="0" borderId="0" xfId="2" applyNumberFormat="1" applyFont="1"/>
    <xf numFmtId="0" fontId="1" fillId="2" borderId="0" xfId="0" applyFont="1" applyFill="1"/>
    <xf numFmtId="165" fontId="1" fillId="2" borderId="0" xfId="2" applyNumberFormat="1" applyFont="1" applyFill="1"/>
    <xf numFmtId="165" fontId="0" fillId="0" borderId="0" xfId="2" applyNumberFormat="1" applyFont="1"/>
    <xf numFmtId="2" fontId="0" fillId="0" borderId="0" xfId="0" applyNumberFormat="1"/>
    <xf numFmtId="0" fontId="2" fillId="9" borderId="0" xfId="0" applyFont="1" applyFill="1"/>
    <xf numFmtId="3" fontId="1" fillId="10" borderId="0" xfId="0" applyNumberFormat="1" applyFont="1" applyFill="1"/>
    <xf numFmtId="4" fontId="6" fillId="11" borderId="7" xfId="0" applyNumberFormat="1" applyFont="1" applyFill="1" applyBorder="1"/>
    <xf numFmtId="4" fontId="0" fillId="0" borderId="0" xfId="0" applyNumberFormat="1"/>
    <xf numFmtId="0" fontId="2" fillId="9" borderId="0" xfId="0" applyFont="1" applyFill="1" applyAlignment="1">
      <alignment horizontal="center"/>
    </xf>
    <xf numFmtId="9" fontId="0" fillId="0" borderId="0" xfId="1" applyFont="1"/>
    <xf numFmtId="165" fontId="1" fillId="10" borderId="0" xfId="2" applyNumberFormat="1" applyFont="1" applyFill="1"/>
    <xf numFmtId="165" fontId="2" fillId="12" borderId="0" xfId="2" applyNumberFormat="1" applyFont="1" applyFill="1"/>
    <xf numFmtId="165" fontId="1" fillId="13" borderId="0" xfId="2" applyNumberFormat="1" applyFont="1" applyFill="1"/>
    <xf numFmtId="165" fontId="1" fillId="14" borderId="0" xfId="2" applyNumberFormat="1" applyFont="1" applyFill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left"/>
    </xf>
    <xf numFmtId="0" fontId="2" fillId="9" borderId="0" xfId="0" applyFont="1" applyFill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166" fontId="2" fillId="9" borderId="0" xfId="2" applyNumberFormat="1" applyFont="1" applyFill="1" applyAlignment="1">
      <alignment horizontal="center"/>
    </xf>
    <xf numFmtId="165" fontId="2" fillId="9" borderId="0" xfId="2" applyNumberFormat="1" applyFont="1" applyFill="1" applyAlignment="1">
      <alignment horizontal="center"/>
    </xf>
    <xf numFmtId="0" fontId="6" fillId="11" borderId="8" xfId="0" applyFont="1" applyFill="1" applyBorder="1"/>
    <xf numFmtId="14" fontId="6" fillId="11" borderId="8" xfId="0" applyNumberFormat="1" applyFont="1" applyFill="1" applyBorder="1"/>
    <xf numFmtId="0" fontId="6" fillId="11" borderId="7" xfId="0" applyFont="1" applyFill="1" applyBorder="1" applyAlignment="1">
      <alignment horizontal="left"/>
    </xf>
    <xf numFmtId="167" fontId="6" fillId="11" borderId="8" xfId="0" applyNumberFormat="1" applyFont="1" applyFill="1" applyBorder="1"/>
    <xf numFmtId="0" fontId="2" fillId="9" borderId="0" xfId="0" applyFont="1" applyFill="1" applyAlignment="1">
      <alignment horizontal="left"/>
    </xf>
    <xf numFmtId="0" fontId="1" fillId="14" borderId="9" xfId="0" applyFont="1" applyFill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2" fillId="16" borderId="9" xfId="0" applyFont="1" applyFill="1" applyBorder="1" applyAlignment="1">
      <alignment horizontal="center"/>
    </xf>
    <xf numFmtId="0" fontId="2" fillId="12" borderId="9" xfId="0" applyFont="1" applyFill="1" applyBorder="1" applyAlignment="1">
      <alignment horizontal="center"/>
    </xf>
    <xf numFmtId="1" fontId="1" fillId="14" borderId="9" xfId="0" applyNumberFormat="1" applyFont="1" applyFill="1" applyBorder="1" applyAlignment="1">
      <alignment horizontal="center"/>
    </xf>
    <xf numFmtId="1" fontId="1" fillId="15" borderId="9" xfId="0" applyNumberFormat="1" applyFont="1" applyFill="1" applyBorder="1" applyAlignment="1">
      <alignment horizontal="center"/>
    </xf>
    <xf numFmtId="1" fontId="2" fillId="16" borderId="9" xfId="0" applyNumberFormat="1" applyFont="1" applyFill="1" applyBorder="1" applyAlignment="1">
      <alignment horizontal="center"/>
    </xf>
    <xf numFmtId="165" fontId="7" fillId="14" borderId="9" xfId="2" applyNumberFormat="1" applyFont="1" applyFill="1" applyBorder="1"/>
    <xf numFmtId="165" fontId="7" fillId="15" borderId="9" xfId="2" applyNumberFormat="1" applyFont="1" applyFill="1" applyBorder="1"/>
    <xf numFmtId="165" fontId="7" fillId="12" borderId="9" xfId="2" applyNumberFormat="1" applyFont="1" applyFill="1" applyBorder="1"/>
    <xf numFmtId="165" fontId="8" fillId="16" borderId="9" xfId="2" applyNumberFormat="1" applyFont="1" applyFill="1" applyBorder="1"/>
    <xf numFmtId="1" fontId="1" fillId="14" borderId="9" xfId="0" applyNumberFormat="1" applyFont="1" applyFill="1" applyBorder="1" applyAlignment="1">
      <alignment horizontal="center" vertical="center"/>
    </xf>
    <xf numFmtId="1" fontId="1" fillId="15" borderId="9" xfId="0" applyNumberFormat="1" applyFont="1" applyFill="1" applyBorder="1" applyAlignment="1">
      <alignment horizontal="center" vertical="center"/>
    </xf>
    <xf numFmtId="1" fontId="2" fillId="12" borderId="9" xfId="0" applyNumberFormat="1" applyFont="1" applyFill="1" applyBorder="1" applyAlignment="1">
      <alignment horizontal="center"/>
    </xf>
    <xf numFmtId="165" fontId="8" fillId="12" borderId="9" xfId="2" applyNumberFormat="1" applyFont="1" applyFill="1" applyBorder="1"/>
    <xf numFmtId="0" fontId="9" fillId="9" borderId="0" xfId="0" applyFont="1" applyFill="1" applyAlignment="1">
      <alignment horizontal="center"/>
    </xf>
    <xf numFmtId="0" fontId="9" fillId="9" borderId="0" xfId="0" applyFont="1" applyFill="1"/>
    <xf numFmtId="165" fontId="10" fillId="10" borderId="0" xfId="2" applyNumberFormat="1" applyFont="1" applyFill="1"/>
    <xf numFmtId="165" fontId="10" fillId="13" borderId="0" xfId="2" applyNumberFormat="1" applyFont="1" applyFill="1"/>
    <xf numFmtId="165" fontId="9" fillId="12" borderId="0" xfId="2" applyNumberFormat="1" applyFont="1" applyFill="1"/>
    <xf numFmtId="165" fontId="10" fillId="14" borderId="0" xfId="2" applyNumberFormat="1" applyFont="1" applyFill="1"/>
    <xf numFmtId="0" fontId="11" fillId="9" borderId="0" xfId="0" applyFont="1" applyFill="1" applyAlignment="1">
      <alignment horizontal="center"/>
    </xf>
    <xf numFmtId="0" fontId="11" fillId="9" borderId="0" xfId="0" applyFont="1" applyFill="1"/>
    <xf numFmtId="165" fontId="12" fillId="13" borderId="0" xfId="2" applyNumberFormat="1" applyFont="1" applyFill="1"/>
    <xf numFmtId="42" fontId="1" fillId="10" borderId="0" xfId="2" applyNumberFormat="1" applyFont="1" applyFill="1"/>
    <xf numFmtId="0" fontId="9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5" fontId="2" fillId="5" borderId="4" xfId="2" applyNumberFormat="1" applyFont="1" applyFill="1" applyBorder="1" applyAlignment="1">
      <alignment horizontal="center" vertical="center"/>
    </xf>
    <xf numFmtId="165" fontId="2" fillId="5" borderId="6" xfId="2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2" applyNumberFormat="1" applyFont="1" applyAlignment="1">
      <alignment horizontal="center"/>
    </xf>
    <xf numFmtId="0" fontId="2" fillId="9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Porcentagem" xfId="1" builtinId="5"/>
  </cellStyles>
  <dxfs count="5">
    <dxf>
      <numFmt numFmtId="0" formatCode="General"/>
    </dxf>
    <dxf>
      <numFmt numFmtId="30" formatCode="@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9" formatCode="dd/mm/yyyy"/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META</a:t>
            </a:r>
            <a:r>
              <a:rPr lang="en-US" b="1" baseline="0"/>
              <a:t> ALTAMIRA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4363233665559248E-2"/>
          <c:y val="0.17634259259259263"/>
          <c:w val="0.95127353266888148"/>
          <c:h val="0.70413604549431319"/>
        </c:manualLayout>
      </c:layout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META!$B$3:$H$3</c:f>
              <c:strCache>
                <c:ptCount val="7"/>
                <c:pt idx="0">
                  <c:v> DOM </c:v>
                </c:pt>
                <c:pt idx="1">
                  <c:v> SEG </c:v>
                </c:pt>
                <c:pt idx="2">
                  <c:v> TER </c:v>
                </c:pt>
                <c:pt idx="3">
                  <c:v> QUA </c:v>
                </c:pt>
                <c:pt idx="4">
                  <c:v> QUI </c:v>
                </c:pt>
                <c:pt idx="5">
                  <c:v> SEX </c:v>
                </c:pt>
                <c:pt idx="6">
                  <c:v> SÁB </c:v>
                </c:pt>
              </c:strCache>
            </c:strRef>
          </c:cat>
          <c:val>
            <c:numRef>
              <c:f>META!$B$9:$H$9</c:f>
              <c:numCache>
                <c:formatCode>_-"R$"\ * #,##0_-;\-"R$"\ * #,##0_-;_-"R$"\ * "-"??_-;_-@_-</c:formatCode>
                <c:ptCount val="7"/>
                <c:pt idx="0">
                  <c:v>1472.5</c:v>
                </c:pt>
                <c:pt idx="1">
                  <c:v>950</c:v>
                </c:pt>
                <c:pt idx="2">
                  <c:v>1054.5</c:v>
                </c:pt>
                <c:pt idx="3">
                  <c:v>1119.7343198693959</c:v>
                </c:pt>
                <c:pt idx="4">
                  <c:v>1592.96</c:v>
                </c:pt>
                <c:pt idx="5">
                  <c:v>1615.0000000000002</c:v>
                </c:pt>
                <c:pt idx="6">
                  <c:v>1695.2749999999999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7E-4953-B942-3ACFD63AF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15040"/>
        <c:axId val="89215400"/>
      </c:barChart>
      <c:catAx>
        <c:axId val="892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15400"/>
        <c:crosses val="autoZero"/>
        <c:auto val="1"/>
        <c:lblAlgn val="ctr"/>
        <c:lblOffset val="100"/>
        <c:noMultiLvlLbl val="0"/>
      </c:catAx>
      <c:valAx>
        <c:axId val="89215400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921504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META INCRA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META!$B$3:$H$3</c:f>
              <c:strCache>
                <c:ptCount val="7"/>
                <c:pt idx="0">
                  <c:v> DOM </c:v>
                </c:pt>
                <c:pt idx="1">
                  <c:v> SEG </c:v>
                </c:pt>
                <c:pt idx="2">
                  <c:v> TER </c:v>
                </c:pt>
                <c:pt idx="3">
                  <c:v> QUA </c:v>
                </c:pt>
                <c:pt idx="4">
                  <c:v> QUI </c:v>
                </c:pt>
                <c:pt idx="5">
                  <c:v> SEX </c:v>
                </c:pt>
                <c:pt idx="6">
                  <c:v> SÁB </c:v>
                </c:pt>
              </c:strCache>
            </c:strRef>
          </c:cat>
          <c:val>
            <c:numRef>
              <c:f>META!$B$28:$H$28</c:f>
              <c:numCache>
                <c:formatCode>_-"R$"\ * #,##0_-;\-"R$"\ * #,##0_-;_-"R$"\ * "-"??_-;_-@_-</c:formatCode>
                <c:ptCount val="7"/>
                <c:pt idx="0">
                  <c:v>3875</c:v>
                </c:pt>
                <c:pt idx="1">
                  <c:v>2500</c:v>
                </c:pt>
                <c:pt idx="2">
                  <c:v>2775</c:v>
                </c:pt>
                <c:pt idx="3">
                  <c:v>2946.6692628142</c:v>
                </c:pt>
                <c:pt idx="4">
                  <c:v>4192</c:v>
                </c:pt>
                <c:pt idx="5">
                  <c:v>4250</c:v>
                </c:pt>
                <c:pt idx="6">
                  <c:v>4461.25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E-4A21-A514-77D92B617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15040"/>
        <c:axId val="89215400"/>
      </c:barChart>
      <c:catAx>
        <c:axId val="892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15400"/>
        <c:crosses val="autoZero"/>
        <c:auto val="1"/>
        <c:lblAlgn val="ctr"/>
        <c:lblOffset val="100"/>
        <c:noMultiLvlLbl val="0"/>
      </c:catAx>
      <c:valAx>
        <c:axId val="89215400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92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META TRIZIDELA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META!$B$3:$H$3</c:f>
              <c:strCache>
                <c:ptCount val="7"/>
                <c:pt idx="0">
                  <c:v> DOM </c:v>
                </c:pt>
                <c:pt idx="1">
                  <c:v> SEG </c:v>
                </c:pt>
                <c:pt idx="2">
                  <c:v> TER </c:v>
                </c:pt>
                <c:pt idx="3">
                  <c:v> QUA </c:v>
                </c:pt>
                <c:pt idx="4">
                  <c:v> QUI </c:v>
                </c:pt>
                <c:pt idx="5">
                  <c:v> SEX </c:v>
                </c:pt>
                <c:pt idx="6">
                  <c:v> SÁB </c:v>
                </c:pt>
              </c:strCache>
            </c:strRef>
          </c:cat>
          <c:val>
            <c:numRef>
              <c:f>META!$B$47:$H$47</c:f>
              <c:numCache>
                <c:formatCode>_-"R$"\ * #,##0_-;\-"R$"\ * #,##0_-;_-"R$"\ * "-"??_-;_-@_-</c:formatCode>
                <c:ptCount val="7"/>
                <c:pt idx="0">
                  <c:v>1860</c:v>
                </c:pt>
                <c:pt idx="1">
                  <c:v>1200</c:v>
                </c:pt>
                <c:pt idx="2">
                  <c:v>1332</c:v>
                </c:pt>
                <c:pt idx="3">
                  <c:v>1414.401246150816</c:v>
                </c:pt>
                <c:pt idx="4">
                  <c:v>2012.1599999999999</c:v>
                </c:pt>
                <c:pt idx="5">
                  <c:v>2040.0000000000002</c:v>
                </c:pt>
                <c:pt idx="6">
                  <c:v>2141.4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7-434F-9DE1-7BE9EC60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15040"/>
        <c:axId val="89215400"/>
      </c:barChart>
      <c:catAx>
        <c:axId val="892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15400"/>
        <c:crosses val="autoZero"/>
        <c:auto val="1"/>
        <c:lblAlgn val="ctr"/>
        <c:lblOffset val="100"/>
        <c:noMultiLvlLbl val="0"/>
      </c:catAx>
      <c:valAx>
        <c:axId val="89215400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92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META COHAB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META!$B$3:$H$3</c:f>
              <c:strCache>
                <c:ptCount val="7"/>
                <c:pt idx="0">
                  <c:v> DOM </c:v>
                </c:pt>
                <c:pt idx="1">
                  <c:v> SEG </c:v>
                </c:pt>
                <c:pt idx="2">
                  <c:v> TER </c:v>
                </c:pt>
                <c:pt idx="3">
                  <c:v> QUA </c:v>
                </c:pt>
                <c:pt idx="4">
                  <c:v> QUI </c:v>
                </c:pt>
                <c:pt idx="5">
                  <c:v> SEX </c:v>
                </c:pt>
                <c:pt idx="6">
                  <c:v> SÁB </c:v>
                </c:pt>
              </c:strCache>
            </c:strRef>
          </c:cat>
          <c:val>
            <c:numRef>
              <c:f>META!$B$66:$H$66</c:f>
              <c:numCache>
                <c:formatCode>_-"R$"\ * #,##0_-;\-"R$"\ * #,##0_-;_-"R$"\ * "-"??_-;_-@_-</c:formatCode>
                <c:ptCount val="7"/>
                <c:pt idx="0">
                  <c:v>697.5</c:v>
                </c:pt>
                <c:pt idx="1">
                  <c:v>450</c:v>
                </c:pt>
                <c:pt idx="2">
                  <c:v>499.5</c:v>
                </c:pt>
                <c:pt idx="3">
                  <c:v>530.40046730655604</c:v>
                </c:pt>
                <c:pt idx="4">
                  <c:v>754.56</c:v>
                </c:pt>
                <c:pt idx="5">
                  <c:v>765</c:v>
                </c:pt>
                <c:pt idx="6">
                  <c:v>803.02499999999998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4-4F3B-B26D-85AD1BAC0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15040"/>
        <c:axId val="89215400"/>
      </c:barChart>
      <c:catAx>
        <c:axId val="892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15400"/>
        <c:crosses val="autoZero"/>
        <c:auto val="1"/>
        <c:lblAlgn val="ctr"/>
        <c:lblOffset val="100"/>
        <c:noMultiLvlLbl val="0"/>
      </c:catAx>
      <c:valAx>
        <c:axId val="89215400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92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META</a:t>
            </a:r>
            <a:r>
              <a:rPr lang="en-US" b="1" baseline="0"/>
              <a:t> 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META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META!$B$3:$H$3</c:f>
              <c:strCache>
                <c:ptCount val="7"/>
                <c:pt idx="0">
                  <c:v> DOM </c:v>
                </c:pt>
                <c:pt idx="1">
                  <c:v> SEG </c:v>
                </c:pt>
                <c:pt idx="2">
                  <c:v> TER </c:v>
                </c:pt>
                <c:pt idx="3">
                  <c:v> QUA </c:v>
                </c:pt>
                <c:pt idx="4">
                  <c:v> QUI </c:v>
                </c:pt>
                <c:pt idx="5">
                  <c:v> SEX </c:v>
                </c:pt>
                <c:pt idx="6">
                  <c:v> SÁB </c:v>
                </c:pt>
              </c:strCache>
            </c:strRef>
          </c:cat>
          <c:val>
            <c:numRef>
              <c:f>META!$B$85:$H$85</c:f>
              <c:numCache>
                <c:formatCode>_-"R$"\ * #,##0_-;\-"R$"\ * #,##0_-;_-"R$"\ * "-"??_-;_-@_-</c:formatCode>
                <c:ptCount val="7"/>
                <c:pt idx="0">
                  <c:v>135.625</c:v>
                </c:pt>
                <c:pt idx="1">
                  <c:v>87.5</c:v>
                </c:pt>
                <c:pt idx="2">
                  <c:v>97.125</c:v>
                </c:pt>
                <c:pt idx="3">
                  <c:v>103.133424198497</c:v>
                </c:pt>
                <c:pt idx="4">
                  <c:v>146.72</c:v>
                </c:pt>
                <c:pt idx="5">
                  <c:v>148.75</c:v>
                </c:pt>
                <c:pt idx="6">
                  <c:v>156.14375000000001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1-49CE-AEC6-3D9D3BA80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15040"/>
        <c:axId val="89215400"/>
      </c:barChart>
      <c:catAx>
        <c:axId val="892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215400"/>
        <c:crosses val="autoZero"/>
        <c:auto val="1"/>
        <c:lblAlgn val="ctr"/>
        <c:lblOffset val="100"/>
        <c:noMultiLvlLbl val="0"/>
      </c:catAx>
      <c:valAx>
        <c:axId val="89215400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92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PERFORMANCE</a:t>
            </a:r>
            <a:r>
              <a:rPr lang="pt-BR" b="1" baseline="0"/>
              <a:t> ALTAMIRA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589713479613807"/>
          <c:y val="0.17134236939735764"/>
          <c:w val="0.85110649090642687"/>
          <c:h val="0.65764634432441271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EE-409B-9499-C1AEA3ED5A6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F0-48D9-835B-74E5E8EF9B4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036-4BB0-82FD-72EE64DBC54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BE4-4320-9512-CEB88A02E88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BC3-40CC-A837-3FA9914FD31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16E-4D99-8C88-78D13A3334B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6E-4D99-8C88-78D13A3334BF}"/>
              </c:ext>
            </c:extLst>
          </c:dPt>
          <c:dLbls>
            <c:dLbl>
              <c:idx val="0"/>
              <c:layout>
                <c:manualLayout>
                  <c:x val="-2.2130010617758378E-2"/>
                  <c:y val="-5.5325026544395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EE-409B-9499-C1AEA3ED5A6E}"/>
                </c:ext>
              </c:extLst>
            </c:dLbl>
            <c:dLbl>
              <c:idx val="1"/>
              <c:layout>
                <c:manualLayout>
                  <c:x val="3.2210685273451642E-3"/>
                  <c:y val="-4.1918575895727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F0-48D9-835B-74E5E8EF9B4D}"/>
                </c:ext>
              </c:extLst>
            </c:dLbl>
            <c:dLbl>
              <c:idx val="2"/>
              <c:layout>
                <c:manualLayout>
                  <c:x val="6.4421370546903873E-3"/>
                  <c:y val="3.224505838132853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36-4BB0-82FD-72EE64DBC543}"/>
                </c:ext>
              </c:extLst>
            </c:dLbl>
            <c:dLbl>
              <c:idx val="3"/>
              <c:layout>
                <c:manualLayout>
                  <c:x val="1.6105342636724934E-3"/>
                  <c:y val="-0.109633198496517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E4-4320-9512-CEB88A02E88D}"/>
                </c:ext>
              </c:extLst>
            </c:dLbl>
            <c:dLbl>
              <c:idx val="4"/>
              <c:layout>
                <c:manualLayout>
                  <c:x val="4.8316027910178345E-3"/>
                  <c:y val="-7.4163634277055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C3-40CC-A837-3FA9914FD319}"/>
                </c:ext>
              </c:extLst>
            </c:dLbl>
            <c:dLbl>
              <c:idx val="5"/>
              <c:layout>
                <c:manualLayout>
                  <c:x val="1.6105342636724934E-3"/>
                  <c:y val="-3.8694070057594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16E-4D99-8C88-78D13A3334BF}"/>
                </c:ext>
              </c:extLst>
            </c:dLbl>
            <c:dLbl>
              <c:idx val="6"/>
              <c:layout>
                <c:manualLayout>
                  <c:x val="1.6105342636726116E-3"/>
                  <c:y val="1.28980233525314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6E-4D99-8C88-78D13A3334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PERFORMANCE!$B$4:$H$4</c:f>
              <c:numCache>
                <c:formatCode>_-"R$"\ * #,##0_-;\-"R$"\ * #,##0_-;_-"R$"\ * "-"??_-;_-@_-</c:formatCode>
                <c:ptCount val="7"/>
                <c:pt idx="0">
                  <c:v>1368.68</c:v>
                </c:pt>
                <c:pt idx="1">
                  <c:v>1535.02</c:v>
                </c:pt>
                <c:pt idx="2">
                  <c:v>1203.1199999999999</c:v>
                </c:pt>
                <c:pt idx="3">
                  <c:v>1473.28</c:v>
                </c:pt>
                <c:pt idx="4">
                  <c:v>1698.23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E-409B-9499-C1AEA3ED5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6998416"/>
        <c:axId val="836999496"/>
      </c:barChart>
      <c:lineChart>
        <c:grouping val="stacked"/>
        <c:varyColors val="0"/>
        <c:ser>
          <c:idx val="0"/>
          <c:order val="0"/>
          <c:tx>
            <c:strRef>
              <c:f>PERFORMANCE!$A$3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563151584753033E-2"/>
                  <c:y val="-0.100026456181758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EE-409B-9499-C1AEA3ED5A6E}"/>
                </c:ext>
              </c:extLst>
            </c:dLbl>
            <c:dLbl>
              <c:idx val="1"/>
              <c:layout>
                <c:manualLayout>
                  <c:x val="-8.5199798822712131E-3"/>
                  <c:y val="-0.22255767803080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EE-409B-9499-C1AEA3ED5A6E}"/>
                </c:ext>
              </c:extLst>
            </c:dLbl>
            <c:dLbl>
              <c:idx val="2"/>
              <c:layout>
                <c:manualLayout>
                  <c:x val="-1.9033725094736251E-2"/>
                  <c:y val="-0.147377435771398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EE-409B-9499-C1AEA3ED5A6E}"/>
                </c:ext>
              </c:extLst>
            </c:dLbl>
            <c:dLbl>
              <c:idx val="3"/>
              <c:layout>
                <c:manualLayout>
                  <c:x val="-3.9870741309899572E-2"/>
                  <c:y val="-8.297643724096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FEE-409B-9499-C1AEA3ED5A6E}"/>
                </c:ext>
              </c:extLst>
            </c:dLbl>
            <c:dLbl>
              <c:idx val="4"/>
              <c:layout>
                <c:manualLayout>
                  <c:x val="-1.8908940392732068E-2"/>
                  <c:y val="-8.62009430790933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EE-409B-9499-C1AEA3ED5A6E}"/>
                </c:ext>
              </c:extLst>
            </c:dLbl>
            <c:dLbl>
              <c:idx val="5"/>
              <c:layout>
                <c:manualLayout>
                  <c:x val="3.9261528191577997E-4"/>
                  <c:y val="-9.7265822167741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FEE-409B-9499-C1AEA3ED5A6E}"/>
                </c:ext>
              </c:extLst>
            </c:dLbl>
            <c:dLbl>
              <c:idx val="6"/>
              <c:layout>
                <c:manualLayout>
                  <c:x val="-2.4158013955089291E-2"/>
                  <c:y val="-0.170898809421041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12-4927-834D-C8E21583FD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PERFORMANCE!$B$3:$H$3</c:f>
              <c:numCache>
                <c:formatCode>_-"R$"\ * #,##0_-;\-"R$"\ * #,##0_-;_-"R$"\ * "-"??_-;_-@_-</c:formatCode>
                <c:ptCount val="7"/>
                <c:pt idx="0">
                  <c:v>1114.19</c:v>
                </c:pt>
                <c:pt idx="1">
                  <c:v>1210</c:v>
                </c:pt>
                <c:pt idx="2">
                  <c:v>1362.011033540691</c:v>
                </c:pt>
                <c:pt idx="3">
                  <c:v>1466.6916600000002</c:v>
                </c:pt>
                <c:pt idx="4">
                  <c:v>1552.9676400000003</c:v>
                </c:pt>
                <c:pt idx="5">
                  <c:v>1622.5982589598927</c:v>
                </c:pt>
                <c:pt idx="6">
                  <c:v>1186.2947250000002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E-409B-9499-C1AEA3ED5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998416"/>
        <c:axId val="836999496"/>
      </c:lineChart>
      <c:catAx>
        <c:axId val="8369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6999496"/>
        <c:crosses val="autoZero"/>
        <c:auto val="1"/>
        <c:lblAlgn val="ctr"/>
        <c:lblOffset val="100"/>
        <c:noMultiLvlLbl val="0"/>
      </c:catAx>
      <c:valAx>
        <c:axId val="836999496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36998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PERFORMANCE</a:t>
            </a:r>
            <a:r>
              <a:rPr lang="pt-BR" b="1" baseline="0"/>
              <a:t> INCRA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502723658404778"/>
          <c:y val="0.1358728272635783"/>
          <c:w val="0.85110649090642687"/>
          <c:h val="0.65764634432441271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880-4FB1-A757-F58BEB77D72A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217-4EE3-BBCB-55F96B2C2F61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B23-4C74-AAFA-B2D84ED063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895-418B-8773-F6691C5ACAA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54B-49C3-8B1E-BBABE903F63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4669-4B68-9C1F-9343430B839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69-4B68-9C1F-9343430B8390}"/>
              </c:ext>
            </c:extLst>
          </c:dPt>
          <c:dLbls>
            <c:dLbl>
              <c:idx val="0"/>
              <c:layout>
                <c:manualLayout>
                  <c:x val="-9.666640449181663E-3"/>
                  <c:y val="-3.0848815450140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80-4FB1-A757-F58BEB77D72A}"/>
                </c:ext>
              </c:extLst>
            </c:dLbl>
            <c:dLbl>
              <c:idx val="1"/>
              <c:layout>
                <c:manualLayout>
                  <c:x val="1.6111067415302723E-3"/>
                  <c:y val="-9.981673950204526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17-4EE3-BBCB-55F96B2C2F61}"/>
                </c:ext>
              </c:extLst>
            </c:dLbl>
            <c:dLbl>
              <c:idx val="2"/>
              <c:layout>
                <c:manualLayout>
                  <c:x val="1.6111067415302723E-3"/>
                  <c:y val="-3.148498186841614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23-4C74-AAFA-B2D84ED06338}"/>
                </c:ext>
              </c:extLst>
            </c:dLbl>
            <c:dLbl>
              <c:idx val="3"/>
              <c:layout>
                <c:manualLayout>
                  <c:x val="-2.4166601122954084E-2"/>
                  <c:y val="-6.1265610924524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95-418B-8773-F6691C5ACAA8}"/>
                </c:ext>
              </c:extLst>
            </c:dLbl>
            <c:dLbl>
              <c:idx val="5"/>
              <c:layout>
                <c:manualLayout>
                  <c:x val="2.4166601122954084E-2"/>
                  <c:y val="-3.2245058381328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669-4B68-9C1F-9343430B8390}"/>
                </c:ext>
              </c:extLst>
            </c:dLbl>
            <c:dLbl>
              <c:idx val="6"/>
              <c:layout>
                <c:manualLayout>
                  <c:x val="1.2888853932242178E-2"/>
                  <c:y val="-6.4490116762657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669-4B68-9C1F-9343430B83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PERFORMANCE!$B$8:$H$8</c:f>
              <c:numCache>
                <c:formatCode>_-"R$"\ * #,##0_-;\-"R$"\ * #,##0_-;_-"R$"\ * "-"??_-;_-@_-</c:formatCode>
                <c:ptCount val="7"/>
                <c:pt idx="0">
                  <c:v>1634.36</c:v>
                </c:pt>
                <c:pt idx="1">
                  <c:v>1297.98</c:v>
                </c:pt>
                <c:pt idx="2">
                  <c:v>1256.8599999999999</c:v>
                </c:pt>
                <c:pt idx="3">
                  <c:v>1575.98</c:v>
                </c:pt>
                <c:pt idx="4">
                  <c:v>2111.89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62-4116-9BFA-DD9C1CC8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6998416"/>
        <c:axId val="836999496"/>
      </c:barChart>
      <c:lineChart>
        <c:grouping val="stacked"/>
        <c:varyColors val="0"/>
        <c:ser>
          <c:idx val="0"/>
          <c:order val="0"/>
          <c:tx>
            <c:strRef>
              <c:f>PERFORMANCE!$A$3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704408850684655E-2"/>
                  <c:y val="-6.77146226007899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62-4116-9BFA-DD9C1CC82005}"/>
                </c:ext>
              </c:extLst>
            </c:dLbl>
            <c:dLbl>
              <c:idx val="1"/>
              <c:layout>
                <c:manualLayout>
                  <c:x val="-5.0055817871360105E-2"/>
                  <c:y val="-9.6632333442024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062-4116-9BFA-DD9C1CC82005}"/>
                </c:ext>
              </c:extLst>
            </c:dLbl>
            <c:dLbl>
              <c:idx val="2"/>
              <c:layout>
                <c:manualLayout>
                  <c:x val="9.7409797051294083E-3"/>
                  <c:y val="-6.9378299745386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62-4116-9BFA-DD9C1CC82005}"/>
                </c:ext>
              </c:extLst>
            </c:dLbl>
            <c:dLbl>
              <c:idx val="3"/>
              <c:layout>
                <c:manualLayout>
                  <c:x val="-2.5765275702226878E-2"/>
                  <c:y val="-0.1006168880109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62-4116-9BFA-DD9C1CC82005}"/>
                </c:ext>
              </c:extLst>
            </c:dLbl>
            <c:dLbl>
              <c:idx val="4"/>
              <c:layout>
                <c:manualLayout>
                  <c:x val="-2.0882480546203244E-2"/>
                  <c:y val="-0.116082210172782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62-4116-9BFA-DD9C1CC82005}"/>
                </c:ext>
              </c:extLst>
            </c:dLbl>
            <c:dLbl>
              <c:idx val="5"/>
              <c:layout>
                <c:manualLayout>
                  <c:x val="-4.0178591816592626E-2"/>
                  <c:y val="-9.6735175143985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62-4116-9BFA-DD9C1CC82005}"/>
                </c:ext>
              </c:extLst>
            </c:dLbl>
            <c:dLbl>
              <c:idx val="6"/>
              <c:layout>
                <c:manualLayout>
                  <c:x val="-1.7722174156833113E-2"/>
                  <c:y val="-5.48165992482585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669-4B68-9C1F-9343430B83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PERFORMANCE!$B$7:$H$7</c:f>
              <c:numCache>
                <c:formatCode>_-"R$"\ * #,##0_-;\-"R$"\ * #,##0_-;_-"R$"\ * "-"??_-;_-@_-</c:formatCode>
                <c:ptCount val="7"/>
                <c:pt idx="0">
                  <c:v>1185.59259893181</c:v>
                </c:pt>
                <c:pt idx="1">
                  <c:v>1319.7999999999997</c:v>
                </c:pt>
                <c:pt idx="2">
                  <c:v>1339.0136431658507</c:v>
                </c:pt>
                <c:pt idx="3">
                  <c:v>1397.1386972854928</c:v>
                </c:pt>
                <c:pt idx="4">
                  <c:v>1623.7826326287604</c:v>
                </c:pt>
                <c:pt idx="5">
                  <c:v>1797.3198600000001</c:v>
                </c:pt>
                <c:pt idx="6">
                  <c:v>1396.3552306938277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062-4116-9BFA-DD9C1CC82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998416"/>
        <c:axId val="836999496"/>
      </c:lineChart>
      <c:catAx>
        <c:axId val="8369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6999496"/>
        <c:crosses val="autoZero"/>
        <c:auto val="1"/>
        <c:lblAlgn val="ctr"/>
        <c:lblOffset val="100"/>
        <c:noMultiLvlLbl val="0"/>
      </c:catAx>
      <c:valAx>
        <c:axId val="836999496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3699841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PERFORMANCE</a:t>
            </a:r>
            <a:r>
              <a:rPr lang="pt-BR" b="1" baseline="0"/>
              <a:t> TRIZIDELA</a:t>
            </a:r>
            <a:endParaRPr lang="pt-BR" b="1"/>
          </a:p>
        </c:rich>
      </c:tx>
      <c:layout>
        <c:manualLayout>
          <c:xMode val="edge"/>
          <c:yMode val="edge"/>
          <c:x val="0.36007589547607272"/>
          <c:y val="2.57960467050628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020636904162558"/>
          <c:y val="0.13264829933976338"/>
          <c:w val="0.85110649090642687"/>
          <c:h val="0.65764634432441271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D5B-416B-A875-76107FC2209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635-4FAC-886A-6AAF3EE40ACC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082-4236-89A5-3F150A5E70F3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F0-4DF6-8D19-575A5917B82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69D-45CD-8D05-83EC05F2CC9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627-484A-BBFB-2241A3B9C3A2}"/>
              </c:ext>
            </c:extLst>
          </c:dPt>
          <c:dLbls>
            <c:dLbl>
              <c:idx val="0"/>
              <c:layout>
                <c:manualLayout>
                  <c:x val="0"/>
                  <c:y val="-3.54695642194613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A4-4B6C-9D53-088793293512}"/>
                </c:ext>
              </c:extLst>
            </c:dLbl>
            <c:dLbl>
              <c:idx val="1"/>
              <c:layout>
                <c:manualLayout>
                  <c:x val="3.2210685273452232E-3"/>
                  <c:y val="-3.86940700575942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D5B-416B-A875-76107FC22093}"/>
                </c:ext>
              </c:extLst>
            </c:dLbl>
            <c:dLbl>
              <c:idx val="2"/>
              <c:layout>
                <c:manualLayout>
                  <c:x val="2.4252490177643138E-2"/>
                  <c:y val="-7.09391284389228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35-4FAC-886A-6AAF3EE40ACC}"/>
                </c:ext>
              </c:extLst>
            </c:dLbl>
            <c:dLbl>
              <c:idx val="3"/>
              <c:layout>
                <c:manualLayout>
                  <c:x val="-5.9052240824803956E-17"/>
                  <c:y val="1.93470350287971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82-4236-89A5-3F150A5E70F3}"/>
                </c:ext>
              </c:extLst>
            </c:dLbl>
            <c:dLbl>
              <c:idx val="4"/>
              <c:layout>
                <c:manualLayout>
                  <c:x val="-3.2210685273452232E-3"/>
                  <c:y val="1.93470350287971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F0-4DF6-8D19-575A5917B824}"/>
                </c:ext>
              </c:extLst>
            </c:dLbl>
            <c:dLbl>
              <c:idx val="5"/>
              <c:layout>
                <c:manualLayout>
                  <c:x val="-4.8316027910178345E-3"/>
                  <c:y val="-3.8694070057594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9D-45CD-8D05-83EC05F2CC91}"/>
                </c:ext>
              </c:extLst>
            </c:dLbl>
            <c:dLbl>
              <c:idx val="6"/>
              <c:layout>
                <c:manualLayout>
                  <c:x val="3.2210685273452229E-2"/>
                  <c:y val="-2.5796046705062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27-484A-BBFB-2241A3B9C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PERFORMANCE!$B$13:$H$13</c:f>
              <c:numCache>
                <c:formatCode>_-"R$"\ * #,##0_-;\-"R$"\ * #,##0_-;_-"R$"\ * "-"??_-;_-@_-</c:formatCode>
                <c:ptCount val="7"/>
                <c:pt idx="0">
                  <c:v>1581.9</c:v>
                </c:pt>
                <c:pt idx="1">
                  <c:v>1849.04</c:v>
                </c:pt>
                <c:pt idx="2">
                  <c:v>1984.05</c:v>
                </c:pt>
                <c:pt idx="3">
                  <c:v>1843.26</c:v>
                </c:pt>
                <c:pt idx="4">
                  <c:v>1836.23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F-4892-A0DB-D0834C93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6998416"/>
        <c:axId val="836999496"/>
      </c:barChart>
      <c:lineChart>
        <c:grouping val="stacked"/>
        <c:varyColors val="0"/>
        <c:ser>
          <c:idx val="0"/>
          <c:order val="0"/>
          <c:tx>
            <c:strRef>
              <c:f>PERFORMANCE!$A$3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4158013955089173E-2"/>
                  <c:y val="-4.8367587571992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A4-4B6C-9D53-088793293512}"/>
                </c:ext>
              </c:extLst>
            </c:dLbl>
            <c:dLbl>
              <c:idx val="1"/>
              <c:layout>
                <c:manualLayout>
                  <c:x val="1.2896067785484952E-2"/>
                  <c:y val="-0.138653751039712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8EF-4892-A0DB-D0834C9367CD}"/>
                </c:ext>
              </c:extLst>
            </c:dLbl>
            <c:dLbl>
              <c:idx val="2"/>
              <c:layout>
                <c:manualLayout>
                  <c:x val="-1.9243728617621435E-2"/>
                  <c:y val="-4.51430817338599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EF-4892-A0DB-D0834C9367CD}"/>
                </c:ext>
              </c:extLst>
            </c:dLbl>
            <c:dLbl>
              <c:idx val="3"/>
              <c:layout>
                <c:manualLayout>
                  <c:x val="-4.1838509827175782E-2"/>
                  <c:y val="-0.132204739363447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EF-4892-A0DB-D0834C9367CD}"/>
                </c:ext>
              </c:extLst>
            </c:dLbl>
            <c:dLbl>
              <c:idx val="4"/>
              <c:layout>
                <c:manualLayout>
                  <c:x val="-4.0251562915711234E-2"/>
                  <c:y val="-7.41636342770556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EF-4892-A0DB-D0834C9367CD}"/>
                </c:ext>
              </c:extLst>
            </c:dLbl>
            <c:dLbl>
              <c:idx val="5"/>
              <c:layout>
                <c:manualLayout>
                  <c:x val="-4.7961618620286483E-3"/>
                  <c:y val="-7.0939128438922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EF-4892-A0DB-D0834C9367CD}"/>
                </c:ext>
              </c:extLst>
            </c:dLbl>
            <c:dLbl>
              <c:idx val="6"/>
              <c:layout>
                <c:manualLayout>
                  <c:x val="-8.0526713183630572E-3"/>
                  <c:y val="-0.106408692658384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27-484A-BBFB-2241A3B9C3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PERFORMANCE!$B$12:$H$12</c:f>
              <c:numCache>
                <c:formatCode>_-"R$"\ * #,##0_-;\-"R$"\ * #,##0_-;_-"R$"\ * "-"??_-;_-@_-</c:formatCode>
                <c:ptCount val="7"/>
                <c:pt idx="0">
                  <c:v>1219.99106074377</c:v>
                </c:pt>
                <c:pt idx="1">
                  <c:v>1330.9818593483701</c:v>
                </c:pt>
                <c:pt idx="2">
                  <c:v>1969.4695524012761</c:v>
                </c:pt>
                <c:pt idx="3">
                  <c:v>2057.5564779227834</c:v>
                </c:pt>
                <c:pt idx="4">
                  <c:v>2273.4658799999997</c:v>
                </c:pt>
                <c:pt idx="5">
                  <c:v>2408.9719731037881</c:v>
                </c:pt>
                <c:pt idx="6">
                  <c:v>1835.6310314999998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8EF-4892-A0DB-D0834C93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998416"/>
        <c:axId val="836999496"/>
      </c:lineChart>
      <c:catAx>
        <c:axId val="8369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6999496"/>
        <c:crosses val="autoZero"/>
        <c:auto val="1"/>
        <c:lblAlgn val="ctr"/>
        <c:lblOffset val="100"/>
        <c:noMultiLvlLbl val="0"/>
      </c:catAx>
      <c:valAx>
        <c:axId val="836999496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3699841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PERFORMANCE</a:t>
            </a:r>
            <a:r>
              <a:rPr lang="pt-BR" b="1" baseline="0"/>
              <a:t> COHAB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860763266989367"/>
          <c:y val="0.12619928766349767"/>
          <c:w val="0.85110649090642687"/>
          <c:h val="0.65764634432441271"/>
        </c:manualLayout>
      </c:layout>
      <c:barChart>
        <c:barDir val="col"/>
        <c:grouping val="clustered"/>
        <c:varyColors val="0"/>
        <c:ser>
          <c:idx val="1"/>
          <c:order val="1"/>
          <c:tx>
            <c:v>REALIZADO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B1-42BA-8258-C248B7C158A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BEB-4766-B596-C1F94C2B265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434-4F21-A2B5-2C7DDEF09898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8D-4C6F-B1F2-D182E7D8292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AD-447D-BFA9-7F62C6CA3BB2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0EA-441C-820E-C76050806EE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EA-441C-820E-C76050806EE3}"/>
              </c:ext>
            </c:extLst>
          </c:dPt>
          <c:dLbls>
            <c:dLbl>
              <c:idx val="0"/>
              <c:layout>
                <c:manualLayout>
                  <c:x val="-2.2547479691416593E-2"/>
                  <c:y val="-4.51430817338599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B1-42BA-8258-C248B7C158A4}"/>
                </c:ext>
              </c:extLst>
            </c:dLbl>
            <c:dLbl>
              <c:idx val="1"/>
              <c:layout>
                <c:manualLayout>
                  <c:x val="0"/>
                  <c:y val="-4.19185758957270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EB-4766-B596-C1F94C2B265D}"/>
                </c:ext>
              </c:extLst>
            </c:dLbl>
            <c:dLbl>
              <c:idx val="2"/>
              <c:layout>
                <c:manualLayout>
                  <c:x val="3.2210685273451642E-3"/>
                  <c:y val="9.673517514398561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34-4F21-A2B5-2C7DDEF09898}"/>
                </c:ext>
              </c:extLst>
            </c:dLbl>
            <c:dLbl>
              <c:idx val="3"/>
              <c:layout>
                <c:manualLayout>
                  <c:x val="4.8316027910177755E-3"/>
                  <c:y val="1.61225291906642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99663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8D-4C6F-B1F2-D182E7D8292D}"/>
                </c:ext>
              </c:extLst>
            </c:dLbl>
            <c:dLbl>
              <c:idx val="5"/>
              <c:layout>
                <c:manualLayout>
                  <c:x val="-3.2210685273452232E-3"/>
                  <c:y val="-1.289802335253141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0EA-441C-820E-C76050806EE3}"/>
                </c:ext>
              </c:extLst>
            </c:dLbl>
            <c:dLbl>
              <c:idx val="6"/>
              <c:layout>
                <c:manualLayout>
                  <c:x val="0"/>
                  <c:y val="-4.8367587571992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EA-441C-820E-C76050806E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PERFORMANCE!$B$19:$H$19</c:f>
              <c:numCache>
                <c:formatCode>_-"R$"\ * #,##0_-;\-"R$"\ * #,##0_-;_-"R$"\ * "-"??_-;_-@_-</c:formatCode>
                <c:ptCount val="7"/>
                <c:pt idx="0">
                  <c:v>505.23</c:v>
                </c:pt>
                <c:pt idx="1">
                  <c:v>671.32</c:v>
                </c:pt>
                <c:pt idx="2">
                  <c:v>616.74</c:v>
                </c:pt>
                <c:pt idx="3">
                  <c:v>645.41</c:v>
                </c:pt>
                <c:pt idx="4">
                  <c:v>913.32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B1-42BA-8258-C248B7C1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6998416"/>
        <c:axId val="836999496"/>
      </c:barChart>
      <c:lineChart>
        <c:grouping val="stacked"/>
        <c:varyColors val="0"/>
        <c:ser>
          <c:idx val="0"/>
          <c:order val="0"/>
          <c:tx>
            <c:strRef>
              <c:f>PERFORMANCE!$A$3</c:f>
              <c:strCache>
                <c:ptCount val="1"/>
                <c:pt idx="0">
                  <c:v>META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0877850233502106E-2"/>
                  <c:y val="-7.416363427705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B1-42BA-8258-C248B7C158A4}"/>
                </c:ext>
              </c:extLst>
            </c:dLbl>
            <c:dLbl>
              <c:idx val="1"/>
              <c:layout>
                <c:manualLayout>
                  <c:x val="5.9095194241845437E-5"/>
                  <c:y val="-5.4816599248258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B1-42BA-8258-C248B7C158A4}"/>
                </c:ext>
              </c:extLst>
            </c:dLbl>
            <c:dLbl>
              <c:idx val="2"/>
              <c:layout>
                <c:manualLayout>
                  <c:x val="4.7489202445678705E-3"/>
                  <c:y val="-5.8041105086391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B1-42BA-8258-C248B7C158A4}"/>
                </c:ext>
              </c:extLst>
            </c:dLbl>
            <c:dLbl>
              <c:idx val="3"/>
              <c:layout>
                <c:manualLayout>
                  <c:x val="9.6749992581397284E-3"/>
                  <c:y val="-7.73881401151884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B1-42BA-8258-C248B7C158A4}"/>
                </c:ext>
              </c:extLst>
            </c:dLbl>
            <c:dLbl>
              <c:idx val="4"/>
              <c:layout>
                <c:manualLayout>
                  <c:x val="0"/>
                  <c:y val="-0.116082210172782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B1-42BA-8258-C248B7C158A4}"/>
                </c:ext>
              </c:extLst>
            </c:dLbl>
            <c:dLbl>
              <c:idx val="5"/>
              <c:layout>
                <c:manualLayout>
                  <c:x val="1.6128929988934233E-2"/>
                  <c:y val="-4.8367587571992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6B1-42BA-8258-C248B7C158A4}"/>
                </c:ext>
              </c:extLst>
            </c:dLbl>
            <c:dLbl>
              <c:idx val="6"/>
              <c:layout>
                <c:manualLayout>
                  <c:x val="-6.4303433785863869E-3"/>
                  <c:y val="-4.8367587571992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6B1-42BA-8258-C248B7C158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PERFORMANCE!$B$2:$H$2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SÁB</c:v>
                </c:pt>
                <c:pt idx="6">
                  <c:v>DOM</c:v>
                </c:pt>
              </c:strCache>
            </c:strRef>
          </c:cat>
          <c:val>
            <c:numRef>
              <c:f>PERFORMANCE!$B$18:$H$18</c:f>
              <c:numCache>
                <c:formatCode>_-"R$"\ * #,##0_-;\-"R$"\ * #,##0_-;_-"R$"\ * "-"??_-;_-@_-</c:formatCode>
                <c:ptCount val="7"/>
                <c:pt idx="0">
                  <c:v>644.00000000000011</c:v>
                </c:pt>
                <c:pt idx="1">
                  <c:v>666.99999999999989</c:v>
                </c:pt>
                <c:pt idx="2">
                  <c:v>692.26863134155121</c:v>
                </c:pt>
                <c:pt idx="3">
                  <c:v>716.36222508011008</c:v>
                </c:pt>
                <c:pt idx="4">
                  <c:v>762.08686743041903</c:v>
                </c:pt>
                <c:pt idx="5">
                  <c:v>826.39501875000008</c:v>
                </c:pt>
                <c:pt idx="6">
                  <c:v>785.07526781249999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6B1-42BA-8258-C248B7C15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998416"/>
        <c:axId val="836999496"/>
      </c:lineChart>
      <c:catAx>
        <c:axId val="8369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6999496"/>
        <c:crosses val="autoZero"/>
        <c:auto val="1"/>
        <c:lblAlgn val="ctr"/>
        <c:lblOffset val="100"/>
        <c:noMultiLvlLbl val="0"/>
      </c:catAx>
      <c:valAx>
        <c:axId val="836999496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83699841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FATURAMENTO X METAS PDVS - SETEMBRO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Planilha1!$O$12</c:f>
              <c:strCache>
                <c:ptCount val="1"/>
                <c:pt idx="0">
                  <c:v>REALIZADO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90958768007948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07-418C-881B-4C295C9ED73B}"/>
                </c:ext>
              </c:extLst>
            </c:dLbl>
            <c:dLbl>
              <c:idx val="1"/>
              <c:layout>
                <c:manualLayout>
                  <c:x val="-3.4379667104543495E-2"/>
                  <c:y val="-1.839080459770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07-418C-881B-4C295C9ED73B}"/>
                </c:ext>
              </c:extLst>
            </c:dLbl>
            <c:dLbl>
              <c:idx val="3"/>
              <c:layout>
                <c:manualLayout>
                  <c:x val="-3.1390130834583301E-2"/>
                  <c:y val="-2.4521072796934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07-418C-881B-4C295C9ED73B}"/>
                </c:ext>
              </c:extLst>
            </c:dLbl>
            <c:dLbl>
              <c:idx val="4"/>
              <c:layout>
                <c:manualLayout>
                  <c:x val="-2.6905826429642735E-2"/>
                  <c:y val="-9.19540229885060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07-418C-881B-4C295C9ED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Planilha1!$N$13:$N$17</c:f>
              <c:strCache>
                <c:ptCount val="5"/>
                <c:pt idx="0">
                  <c:v>ALTAMIRA</c:v>
                </c:pt>
                <c:pt idx="1">
                  <c:v>INCRA</c:v>
                </c:pt>
                <c:pt idx="2">
                  <c:v>TRIZIDELA</c:v>
                </c:pt>
                <c:pt idx="3">
                  <c:v>COHAB</c:v>
                </c:pt>
                <c:pt idx="4">
                  <c:v>TOTAL</c:v>
                </c:pt>
              </c:strCache>
            </c:strRef>
          </c:cat>
          <c:val>
            <c:numRef>
              <c:f>Planilha1!$O$13:$O$17</c:f>
              <c:numCache>
                <c:formatCode>_-"R$"\ * #,##0_-;\-"R$"\ * #,##0_-;_-"R$"\ * "-"??_-;_-@_-</c:formatCode>
                <c:ptCount val="5"/>
                <c:pt idx="0">
                  <c:v>41083.800000000003</c:v>
                </c:pt>
                <c:pt idx="1">
                  <c:v>42793.33</c:v>
                </c:pt>
                <c:pt idx="2">
                  <c:v>61164</c:v>
                </c:pt>
                <c:pt idx="3">
                  <c:v>20987.81</c:v>
                </c:pt>
                <c:pt idx="4">
                  <c:v>166028.94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07-418C-881B-4C295C9ED73B}"/>
            </c:ext>
          </c:extLst>
        </c:ser>
        <c:ser>
          <c:idx val="1"/>
          <c:order val="1"/>
          <c:tx>
            <c:strRef>
              <c:f>Planilha1!$P$12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242152202470217E-2"/>
                  <c:y val="-6.13026819923382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07-418C-881B-4C295C9ED73B}"/>
                </c:ext>
              </c:extLst>
            </c:dLbl>
            <c:dLbl>
              <c:idx val="3"/>
              <c:layout>
                <c:manualLayout>
                  <c:x val="1.0463376944861064E-2"/>
                  <c:y val="-1.22605363984674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07-418C-881B-4C295C9ED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Planilha1!$N$13:$N$17</c:f>
              <c:strCache>
                <c:ptCount val="5"/>
                <c:pt idx="0">
                  <c:v>ALTAMIRA</c:v>
                </c:pt>
                <c:pt idx="1">
                  <c:v>INCRA</c:v>
                </c:pt>
                <c:pt idx="2">
                  <c:v>TRIZIDELA</c:v>
                </c:pt>
                <c:pt idx="3">
                  <c:v>COHAB</c:v>
                </c:pt>
                <c:pt idx="4">
                  <c:v>TOTAL</c:v>
                </c:pt>
              </c:strCache>
            </c:strRef>
          </c:cat>
          <c:val>
            <c:numRef>
              <c:f>Planilha1!$P$13:$P$17</c:f>
              <c:numCache>
                <c:formatCode>_-"R$"\ * #,##0_-;\-"R$"\ * #,##0_-;_-"R$"\ * "-"??_-;_-@_-</c:formatCode>
                <c:ptCount val="5"/>
                <c:pt idx="0">
                  <c:v>55000</c:v>
                </c:pt>
                <c:pt idx="1">
                  <c:v>50000</c:v>
                </c:pt>
                <c:pt idx="2">
                  <c:v>50000</c:v>
                </c:pt>
                <c:pt idx="3">
                  <c:v>23000</c:v>
                </c:pt>
                <c:pt idx="4">
                  <c:v>178000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7-418C-881B-4C295C9ED73B}"/>
            </c:ext>
          </c:extLst>
        </c:ser>
        <c:ser>
          <c:idx val="2"/>
          <c:order val="2"/>
          <c:tx>
            <c:strRef>
              <c:f>Planilha1!$Q$12</c:f>
              <c:strCache>
                <c:ptCount val="1"/>
                <c:pt idx="0">
                  <c:v>FALTA REALIZAR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45291321482134E-2"/>
                  <c:y val="-2.807017543859648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07-418C-881B-4C295C9ED73B}"/>
                </c:ext>
              </c:extLst>
            </c:dLbl>
            <c:dLbl>
              <c:idx val="2"/>
              <c:layout>
                <c:manualLayout>
                  <c:x val="1.7937217619761824E-2"/>
                  <c:y val="0.119540229885057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07-418C-881B-4C295C9ED73B}"/>
                </c:ext>
              </c:extLst>
            </c:dLbl>
            <c:dLbl>
              <c:idx val="4"/>
              <c:layout>
                <c:manualLayout>
                  <c:x val="1.0463376944860953E-2"/>
                  <c:y val="-1.532567049808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07-418C-881B-4C295C9ED7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Planilha1!$N$13:$N$17</c:f>
              <c:strCache>
                <c:ptCount val="5"/>
                <c:pt idx="0">
                  <c:v>ALTAMIRA</c:v>
                </c:pt>
                <c:pt idx="1">
                  <c:v>INCRA</c:v>
                </c:pt>
                <c:pt idx="2">
                  <c:v>TRIZIDELA</c:v>
                </c:pt>
                <c:pt idx="3">
                  <c:v>COHAB</c:v>
                </c:pt>
                <c:pt idx="4">
                  <c:v>TOTAL</c:v>
                </c:pt>
              </c:strCache>
            </c:strRef>
          </c:cat>
          <c:val>
            <c:numRef>
              <c:f>Planilha1!$Q$13:$Q$17</c:f>
              <c:numCache>
                <c:formatCode>_-"R$"\ * #,##0_-;\-"R$"\ * #,##0_-;_-"R$"\ * "-"??_-;_-@_-</c:formatCode>
                <c:ptCount val="5"/>
                <c:pt idx="0">
                  <c:v>13916.199999999997</c:v>
                </c:pt>
                <c:pt idx="1">
                  <c:v>7206.6699999999983</c:v>
                </c:pt>
                <c:pt idx="2">
                  <c:v>-11164</c:v>
                </c:pt>
                <c:pt idx="3">
                  <c:v>2012.1899999999987</c:v>
                </c:pt>
                <c:pt idx="4">
                  <c:v>11971.059999999998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07-418C-881B-4C295C9ED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050696"/>
        <c:axId val="768051776"/>
      </c:barChart>
      <c:catAx>
        <c:axId val="76805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8051776"/>
        <c:crosses val="autoZero"/>
        <c:auto val="1"/>
        <c:lblAlgn val="ctr"/>
        <c:lblOffset val="100"/>
        <c:noMultiLvlLbl val="0"/>
      </c:catAx>
      <c:valAx>
        <c:axId val="768051776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76805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SETEMBRO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015823873409012E-2"/>
          <c:y val="0.17451517912341782"/>
          <c:w val="0.96972824217406262"/>
          <c:h val="0.72125801983085447"/>
        </c:manualLayout>
      </c:layout>
      <c:lineChart>
        <c:grouping val="standard"/>
        <c:varyColors val="0"/>
        <c:ser>
          <c:idx val="0"/>
          <c:order val="0"/>
          <c:tx>
            <c:strRef>
              <c:f>Planilha1!$H$3</c:f>
              <c:strCache>
                <c:ptCount val="1"/>
                <c:pt idx="0">
                  <c:v>DELIVERY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5.503955968352253E-3"/>
                  <c:y val="-7.8703703703703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0-4C66-9BCF-106E250D3282}"/>
                </c:ext>
              </c:extLst>
            </c:dLbl>
            <c:dLbl>
              <c:idx val="2"/>
              <c:layout>
                <c:manualLayout>
                  <c:x val="1.3759889920880633E-2"/>
                  <c:y val="-8.3333333333333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C0-4C66-9BCF-106E250D3282}"/>
                </c:ext>
              </c:extLst>
            </c:dLbl>
            <c:dLbl>
              <c:idx val="3"/>
              <c:layout>
                <c:manualLayout>
                  <c:x val="2.7519779841760762E-3"/>
                  <c:y val="-0.122849956255468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6573787409700721E-2"/>
                      <c:h val="0.1060826771653543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EC0-4C66-9BCF-106E250D3282}"/>
                </c:ext>
              </c:extLst>
            </c:dLbl>
            <c:dLbl>
              <c:idx val="4"/>
              <c:layout>
                <c:manualLayout>
                  <c:x val="-5.503955968352253E-3"/>
                  <c:y val="-0.106481481481481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C0-4C66-9BCF-106E250D3282}"/>
                </c:ext>
              </c:extLst>
            </c:dLbl>
            <c:dLbl>
              <c:idx val="5"/>
              <c:layout>
                <c:manualLayout>
                  <c:x val="-8.2559339525284294E-3"/>
                  <c:y val="-9.722222222222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C0-4C66-9BCF-106E250D3282}"/>
                </c:ext>
              </c:extLst>
            </c:dLbl>
            <c:dLbl>
              <c:idx val="6"/>
              <c:layout>
                <c:manualLayout>
                  <c:x val="-1.238390092879257E-2"/>
                  <c:y val="-0.11111111111111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EC0-4C66-9BCF-106E250D3282}"/>
                </c:ext>
              </c:extLst>
            </c:dLbl>
            <c:dLbl>
              <c:idx val="7"/>
              <c:layout>
                <c:manualLayout>
                  <c:x val="-1.6511867905056758E-2"/>
                  <c:y val="-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EC0-4C66-9BCF-106E250D3282}"/>
                </c:ext>
              </c:extLst>
            </c:dLbl>
            <c:dLbl>
              <c:idx val="8"/>
              <c:layout>
                <c:manualLayout>
                  <c:x val="-1.5135878912968696E-2"/>
                  <c:y val="-9.722222222222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EC0-4C66-9BCF-106E250D3282}"/>
                </c:ext>
              </c:extLst>
            </c:dLbl>
            <c:dLbl>
              <c:idx val="9"/>
              <c:layout>
                <c:manualLayout>
                  <c:x val="-1.926384588923288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C0-4C66-9BCF-106E250D3282}"/>
                </c:ext>
              </c:extLst>
            </c:dLbl>
            <c:dLbl>
              <c:idx val="10"/>
              <c:layout>
                <c:manualLayout>
                  <c:x val="-2.8895768833849329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EC0-4C66-9BCF-106E250D3282}"/>
                </c:ext>
              </c:extLst>
            </c:dLbl>
            <c:dLbl>
              <c:idx val="11"/>
              <c:layout>
                <c:manualLayout>
                  <c:x val="-2.8895768833849329E-2"/>
                  <c:y val="-9.2592592592592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EC0-4C66-9BCF-106E250D3282}"/>
                </c:ext>
              </c:extLst>
            </c:dLbl>
            <c:dLbl>
              <c:idx val="12"/>
              <c:layout>
                <c:manualLayout>
                  <c:x val="-3.302373581011351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C0-4C66-9BCF-106E250D3282}"/>
                </c:ext>
              </c:extLst>
            </c:dLbl>
            <c:dLbl>
              <c:idx val="13"/>
              <c:layout>
                <c:manualLayout>
                  <c:x val="-3.5775713794289649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EC0-4C66-9BCF-106E250D3282}"/>
                </c:ext>
              </c:extLst>
            </c:dLbl>
            <c:dLbl>
              <c:idx val="14"/>
              <c:layout>
                <c:manualLayout>
                  <c:x val="-3.7151702786377812E-2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EC0-4C66-9BCF-106E250D3282}"/>
                </c:ext>
              </c:extLst>
            </c:dLbl>
            <c:dLbl>
              <c:idx val="15"/>
              <c:layout>
                <c:manualLayout>
                  <c:x val="-4.1279669762641896E-3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EC0-4C66-9BCF-106E250D32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Planilha1!$I$2:$X$2</c:f>
              <c:strCache>
                <c:ptCount val="16"/>
                <c:pt idx="0">
                  <c:v>9-set</c:v>
                </c:pt>
                <c:pt idx="1">
                  <c:v>11-set</c:v>
                </c:pt>
                <c:pt idx="2">
                  <c:v>15-set</c:v>
                </c:pt>
                <c:pt idx="3">
                  <c:v>16-set</c:v>
                </c:pt>
                <c:pt idx="4">
                  <c:v>17-set</c:v>
                </c:pt>
                <c:pt idx="5">
                  <c:v>18-set</c:v>
                </c:pt>
                <c:pt idx="6">
                  <c:v>19-set</c:v>
                </c:pt>
                <c:pt idx="7">
                  <c:v>20-set</c:v>
                </c:pt>
                <c:pt idx="8">
                  <c:v>22-set</c:v>
                </c:pt>
                <c:pt idx="9">
                  <c:v>23-set</c:v>
                </c:pt>
                <c:pt idx="10">
                  <c:v>24-set</c:v>
                </c:pt>
                <c:pt idx="11">
                  <c:v>25-set</c:v>
                </c:pt>
                <c:pt idx="12">
                  <c:v>26-set</c:v>
                </c:pt>
                <c:pt idx="13">
                  <c:v>27-set</c:v>
                </c:pt>
                <c:pt idx="14">
                  <c:v>28-set</c:v>
                </c:pt>
                <c:pt idx="15">
                  <c:v>Total Geral</c:v>
                </c:pt>
              </c:strCache>
            </c:strRef>
          </c:cat>
          <c:val>
            <c:numRef>
              <c:f>Planilha1!$I$3:$X$3</c:f>
              <c:numCache>
                <c:formatCode>#,##0.00</c:formatCode>
                <c:ptCount val="16"/>
                <c:pt idx="0">
                  <c:v>1045.5</c:v>
                </c:pt>
                <c:pt idx="1">
                  <c:v>142.75</c:v>
                </c:pt>
                <c:pt idx="2">
                  <c:v>105</c:v>
                </c:pt>
                <c:pt idx="3">
                  <c:v>71.97</c:v>
                </c:pt>
                <c:pt idx="4">
                  <c:v>108</c:v>
                </c:pt>
                <c:pt idx="5">
                  <c:v>87.89</c:v>
                </c:pt>
                <c:pt idx="6">
                  <c:v>141.66</c:v>
                </c:pt>
                <c:pt idx="7">
                  <c:v>97.97</c:v>
                </c:pt>
                <c:pt idx="8">
                  <c:v>183.73999999999998</c:v>
                </c:pt>
                <c:pt idx="9">
                  <c:v>46.879999999999995</c:v>
                </c:pt>
                <c:pt idx="10">
                  <c:v>84.850000000000009</c:v>
                </c:pt>
                <c:pt idx="11">
                  <c:v>117.94</c:v>
                </c:pt>
                <c:pt idx="12">
                  <c:v>260.56</c:v>
                </c:pt>
                <c:pt idx="13">
                  <c:v>483.65999999999997</c:v>
                </c:pt>
                <c:pt idx="14">
                  <c:v>383.69999999999993</c:v>
                </c:pt>
                <c:pt idx="15">
                  <c:v>3362.0699999999997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EC0-4C66-9BCF-106E250D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326952"/>
        <c:axId val="1030325872"/>
      </c:lineChart>
      <c:catAx>
        <c:axId val="103032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0325872"/>
        <c:crosses val="autoZero"/>
        <c:auto val="1"/>
        <c:lblAlgn val="ctr"/>
        <c:lblOffset val="100"/>
        <c:noMultiLvlLbl val="0"/>
      </c:catAx>
      <c:valAx>
        <c:axId val="1030325872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030326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</xdr:row>
      <xdr:rowOff>23812</xdr:rowOff>
    </xdr:from>
    <xdr:to>
      <xdr:col>18</xdr:col>
      <xdr:colOff>238125</xdr:colOff>
      <xdr:row>15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0F637B-E67E-575C-3926-F8A2F6E94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609599</xdr:colOff>
      <xdr:row>20</xdr:row>
      <xdr:rowOff>0</xdr:rowOff>
    </xdr:from>
    <xdr:to>
      <xdr:col>19</xdr:col>
      <xdr:colOff>142874</xdr:colOff>
      <xdr:row>34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4E8935-C5D2-4003-AFC3-B149FA5DC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581025</xdr:colOff>
      <xdr:row>38</xdr:row>
      <xdr:rowOff>9525</xdr:rowOff>
    </xdr:from>
    <xdr:to>
      <xdr:col>19</xdr:col>
      <xdr:colOff>542925</xdr:colOff>
      <xdr:row>52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7B4EA05-D9F0-43A8-A89F-341304BD7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561975</xdr:colOff>
      <xdr:row>56</xdr:row>
      <xdr:rowOff>9525</xdr:rowOff>
    </xdr:from>
    <xdr:to>
      <xdr:col>19</xdr:col>
      <xdr:colOff>561975</xdr:colOff>
      <xdr:row>70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7DCD07-F8D4-4313-BC92-909AA2B5C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76</xdr:row>
      <xdr:rowOff>0</xdr:rowOff>
    </xdr:from>
    <xdr:to>
      <xdr:col>20</xdr:col>
      <xdr:colOff>0</xdr:colOff>
      <xdr:row>90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76AE45-ECD9-4C99-B69B-67C8246D9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168647</xdr:colOff>
      <xdr:row>1</xdr:row>
      <xdr:rowOff>38379</xdr:rowOff>
    </xdr:from>
    <xdr:to>
      <xdr:col>21</xdr:col>
      <xdr:colOff>187699</xdr:colOff>
      <xdr:row>21</xdr:row>
      <xdr:rowOff>166967</xdr:rowOff>
    </xdr:to>
    <xdr:graphicFrame macro="">
      <xdr:nvGraphicFramePr>
        <xdr:cNvPr id="9" name="Gráfico 1">
          <a:extLst>
            <a:ext uri="{FF2B5EF4-FFF2-40B4-BE49-F238E27FC236}">
              <a16:creationId xmlns:a16="http://schemas.microsoft.com/office/drawing/2014/main" id="{11A806B0-D64C-35E6-440B-A1D1DBA4A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129429</xdr:colOff>
      <xdr:row>23</xdr:row>
      <xdr:rowOff>45944</xdr:rowOff>
    </xdr:from>
    <xdr:to>
      <xdr:col>21</xdr:col>
      <xdr:colOff>145679</xdr:colOff>
      <xdr:row>44</xdr:row>
      <xdr:rowOff>174532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7B2CBB-D11C-4FE3-8DC6-6B7BB0826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46</xdr:row>
      <xdr:rowOff>0</xdr:rowOff>
    </xdr:from>
    <xdr:to>
      <xdr:col>21</xdr:col>
      <xdr:colOff>19052</xdr:colOff>
      <xdr:row>66</xdr:row>
      <xdr:rowOff>128588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651BC32-2F87-4891-B4DC-FD855D0DC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33618</xdr:colOff>
      <xdr:row>67</xdr:row>
      <xdr:rowOff>89649</xdr:rowOff>
    </xdr:from>
    <xdr:to>
      <xdr:col>21</xdr:col>
      <xdr:colOff>52670</xdr:colOff>
      <xdr:row>88</xdr:row>
      <xdr:rowOff>27737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BFBBCE2-553F-4A7A-A87B-1E8084764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3</xdr:row>
      <xdr:rowOff>133350</xdr:rowOff>
    </xdr:from>
    <xdr:to>
      <xdr:col>23</xdr:col>
      <xdr:colOff>209551</xdr:colOff>
      <xdr:row>27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F7E600-261D-4BD8-9F8E-923C0B8D4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0</xdr:row>
      <xdr:rowOff>57150</xdr:rowOff>
    </xdr:from>
    <xdr:to>
      <xdr:col>18</xdr:col>
      <xdr:colOff>523875</xdr:colOff>
      <xdr:row>2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70C9EC2-B675-A6F2-ABF1-7B4563B09E6E}"/>
            </a:ext>
          </a:extLst>
        </xdr:cNvPr>
        <xdr:cNvSpPr txBox="1"/>
      </xdr:nvSpPr>
      <xdr:spPr>
        <a:xfrm>
          <a:off x="4838700" y="57150"/>
          <a:ext cx="10191750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 b="1"/>
            <a:t>DASHBOARD BARRA DO</a:t>
          </a:r>
          <a:r>
            <a:rPr lang="pt-BR" sz="2800" b="1" baseline="0"/>
            <a:t> CORDA - SETEMBRO</a:t>
          </a:r>
          <a:endParaRPr lang="pt-BR" sz="2800" b="1"/>
        </a:p>
      </xdr:txBody>
    </xdr:sp>
    <xdr:clientData/>
  </xdr:twoCellAnchor>
  <xdr:twoCellAnchor>
    <xdr:from>
      <xdr:col>12</xdr:col>
      <xdr:colOff>133350</xdr:colOff>
      <xdr:row>28</xdr:row>
      <xdr:rowOff>85725</xdr:rowOff>
    </xdr:from>
    <xdr:to>
      <xdr:col>25</xdr:col>
      <xdr:colOff>314325</xdr:colOff>
      <xdr:row>47</xdr:row>
      <xdr:rowOff>28576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4E04FF-7B0D-4EB2-8BA2-2FA618F37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ABC23-202B-4ABB-A785-5C304AA0ADC6}" name="Tabela1" displayName="Tabela1" ref="A1:F247" totalsRowShown="0">
  <autoFilter ref="A1:F247" xr:uid="{AA1ABC23-202B-4ABB-A785-5C304AA0ADC6}"/>
  <sortState xmlns:xlrd2="http://schemas.microsoft.com/office/spreadsheetml/2017/richdata2" ref="A2:F247">
    <sortCondition ref="A1:A247"/>
  </sortState>
  <tableColumns count="6">
    <tableColumn id="1" xr3:uid="{5A9A19B2-F56E-4CF8-B278-3E7EF9CD7529}" name="PDV"/>
    <tableColumn id="2" xr3:uid="{0FFEDDB7-1933-4443-AA9B-ED964D523E5C}" name="DATA" dataDxfId="4"/>
    <tableColumn id="3" xr3:uid="{92A9EDF4-6D00-477A-9F78-64EBB373EF5B}" name="FATURAMENTO" dataDxfId="3"/>
    <tableColumn id="6" xr3:uid="{B2F11963-B583-4EE9-8961-33E51B47D8B7}" name="MÊS" dataDxfId="2">
      <calculatedColumnFormula>TEXT(Tabela1[[#This Row],[DATA]],"MMMM")</calculatedColumnFormula>
    </tableColumn>
    <tableColumn id="4" xr3:uid="{E9C20D1A-0857-4CA4-9D77-2F0CB87804B9}" name="DIA DA SEMANA" dataDxfId="1">
      <calculatedColumnFormula>TEXT(Tabela1[[#This Row],[DATA]],"DDDD")</calculatedColumnFormula>
    </tableColumn>
    <tableColumn id="5" xr3:uid="{34DD7BA8-0D7D-43F4-B38F-A3714F47BD53}" name="SEMANA" dataDxfId="0">
      <calculatedColumnFormula>_xlfn.CONCAT("SEMANA"," ",WEEKNUM(B2)-WEEKNUM(EOMONTH(B2,-1)+1)+1)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1C3F-2BE4-487E-94AA-E153501B0EA5}">
  <dimension ref="A1:H247"/>
  <sheetViews>
    <sheetView topLeftCell="A122" workbookViewId="0">
      <selection activeCell="D158" sqref="C157:D158"/>
    </sheetView>
  </sheetViews>
  <sheetFormatPr defaultRowHeight="15" x14ac:dyDescent="0.25"/>
  <cols>
    <col min="1" max="1" width="11" customWidth="1"/>
    <col min="2" max="2" width="11.5703125" style="2" customWidth="1"/>
    <col min="3" max="3" width="16.28515625" customWidth="1"/>
    <col min="4" max="4" width="8.42578125" bestFit="1" customWidth="1"/>
    <col min="5" max="5" width="17.5703125" style="5" bestFit="1" customWidth="1"/>
    <col min="6" max="6" width="10.85546875" bestFit="1" customWidth="1"/>
  </cols>
  <sheetData>
    <row r="1" spans="1:6" x14ac:dyDescent="0.25">
      <c r="A1" t="s">
        <v>0</v>
      </c>
      <c r="B1" s="2" t="s">
        <v>1</v>
      </c>
      <c r="C1" t="s">
        <v>2</v>
      </c>
      <c r="D1" t="s">
        <v>3</v>
      </c>
      <c r="E1" s="5" t="s">
        <v>4</v>
      </c>
      <c r="F1" t="s">
        <v>5</v>
      </c>
    </row>
    <row r="2" spans="1:6" x14ac:dyDescent="0.25">
      <c r="A2" t="s">
        <v>6</v>
      </c>
      <c r="B2" s="2">
        <v>45839</v>
      </c>
      <c r="C2" s="3">
        <v>1192.25</v>
      </c>
      <c r="D2" s="3" t="str">
        <f>TEXT(Tabela1[[#This Row],[DATA]],"MMMM")</f>
        <v>julho</v>
      </c>
      <c r="E2" s="5" t="str">
        <f>TEXT(Tabela1[[#This Row],[DATA]],"DDDD")</f>
        <v>terça-feira</v>
      </c>
      <c r="F2" t="str">
        <f t="shared" ref="F2:F32" si="0">_xlfn.CONCAT("SEMANA"," ",WEEKNUM(B2)-WEEKNUM(EOMONTH(B2,-1)+1)+1)</f>
        <v>SEMANA 1</v>
      </c>
    </row>
    <row r="3" spans="1:6" x14ac:dyDescent="0.25">
      <c r="A3" t="s">
        <v>6</v>
      </c>
      <c r="B3" s="2">
        <v>45840</v>
      </c>
      <c r="C3" s="3">
        <v>767.75</v>
      </c>
      <c r="D3" s="3" t="str">
        <f>TEXT(Tabela1[[#This Row],[DATA]],"MMMM")</f>
        <v>julho</v>
      </c>
      <c r="E3" s="5" t="str">
        <f>TEXT(Tabela1[[#This Row],[DATA]],"DDDD")</f>
        <v>quarta-feira</v>
      </c>
      <c r="F3" t="str">
        <f t="shared" si="0"/>
        <v>SEMANA 1</v>
      </c>
    </row>
    <row r="4" spans="1:6" x14ac:dyDescent="0.25">
      <c r="A4" t="s">
        <v>6</v>
      </c>
      <c r="B4" s="2">
        <v>45841</v>
      </c>
      <c r="C4" s="3">
        <v>1305.5</v>
      </c>
      <c r="D4" s="3" t="str">
        <f>TEXT(Tabela1[[#This Row],[DATA]],"MMMM")</f>
        <v>julho</v>
      </c>
      <c r="E4" s="5" t="str">
        <f>TEXT(Tabela1[[#This Row],[DATA]],"DDDD")</f>
        <v>quinta-feira</v>
      </c>
      <c r="F4" t="str">
        <f t="shared" si="0"/>
        <v>SEMANA 1</v>
      </c>
    </row>
    <row r="5" spans="1:6" x14ac:dyDescent="0.25">
      <c r="A5" t="s">
        <v>6</v>
      </c>
      <c r="B5" s="2">
        <v>45842</v>
      </c>
      <c r="C5" s="3">
        <v>2123</v>
      </c>
      <c r="D5" s="3" t="str">
        <f>TEXT(Tabela1[[#This Row],[DATA]],"MMMM")</f>
        <v>julho</v>
      </c>
      <c r="E5" s="5" t="str">
        <f>TEXT(Tabela1[[#This Row],[DATA]],"DDDD")</f>
        <v>sexta-feira</v>
      </c>
      <c r="F5" t="str">
        <f t="shared" si="0"/>
        <v>SEMANA 1</v>
      </c>
    </row>
    <row r="6" spans="1:6" x14ac:dyDescent="0.25">
      <c r="A6" t="s">
        <v>6</v>
      </c>
      <c r="B6" s="2">
        <v>45843</v>
      </c>
      <c r="C6" s="3">
        <v>1054.5</v>
      </c>
      <c r="D6" s="3" t="str">
        <f>TEXT(Tabela1[[#This Row],[DATA]],"MMMM")</f>
        <v>julho</v>
      </c>
      <c r="E6" s="5" t="str">
        <f>TEXT(Tabela1[[#This Row],[DATA]],"DDDD")</f>
        <v>sábado</v>
      </c>
      <c r="F6" t="str">
        <f t="shared" si="0"/>
        <v>SEMANA 1</v>
      </c>
    </row>
    <row r="7" spans="1:6" x14ac:dyDescent="0.25">
      <c r="A7" t="s">
        <v>6</v>
      </c>
      <c r="B7" s="2">
        <v>45844</v>
      </c>
      <c r="C7" s="3">
        <v>1460</v>
      </c>
      <c r="D7" s="3" t="str">
        <f>TEXT(Tabela1[[#This Row],[DATA]],"MMMM")</f>
        <v>julho</v>
      </c>
      <c r="E7" s="5" t="str">
        <f>TEXT(Tabela1[[#This Row],[DATA]],"DDDD")</f>
        <v>domingo</v>
      </c>
      <c r="F7" t="str">
        <f t="shared" si="0"/>
        <v>SEMANA 2</v>
      </c>
    </row>
    <row r="8" spans="1:6" x14ac:dyDescent="0.25">
      <c r="A8" t="s">
        <v>6</v>
      </c>
      <c r="B8" s="2">
        <v>45845</v>
      </c>
      <c r="C8" s="3">
        <v>1049</v>
      </c>
      <c r="D8" s="3" t="str">
        <f>TEXT(Tabela1[[#This Row],[DATA]],"MMMM")</f>
        <v>julho</v>
      </c>
      <c r="E8" s="5" t="str">
        <f>TEXT(Tabela1[[#This Row],[DATA]],"DDDD")</f>
        <v>segunda-feira</v>
      </c>
      <c r="F8" t="str">
        <f t="shared" si="0"/>
        <v>SEMANA 2</v>
      </c>
    </row>
    <row r="9" spans="1:6" x14ac:dyDescent="0.25">
      <c r="A9" t="s">
        <v>6</v>
      </c>
      <c r="B9" s="2">
        <v>45846</v>
      </c>
      <c r="C9" s="3">
        <v>1211</v>
      </c>
      <c r="D9" s="3" t="str">
        <f>TEXT(Tabela1[[#This Row],[DATA]],"MMMM")</f>
        <v>julho</v>
      </c>
      <c r="E9" s="5" t="str">
        <f>TEXT(Tabela1[[#This Row],[DATA]],"DDDD")</f>
        <v>terça-feira</v>
      </c>
      <c r="F9" t="str">
        <f t="shared" si="0"/>
        <v>SEMANA 2</v>
      </c>
    </row>
    <row r="10" spans="1:6" x14ac:dyDescent="0.25">
      <c r="A10" t="s">
        <v>6</v>
      </c>
      <c r="B10" s="2">
        <v>45847</v>
      </c>
      <c r="C10" s="3">
        <v>1281.5</v>
      </c>
      <c r="D10" s="3" t="str">
        <f>TEXT(Tabela1[[#This Row],[DATA]],"MMMM")</f>
        <v>julho</v>
      </c>
      <c r="E10" s="5" t="str">
        <f>TEXT(Tabela1[[#This Row],[DATA]],"DDDD")</f>
        <v>quarta-feira</v>
      </c>
      <c r="F10" t="str">
        <f t="shared" si="0"/>
        <v>SEMANA 2</v>
      </c>
    </row>
    <row r="11" spans="1:6" x14ac:dyDescent="0.25">
      <c r="A11" t="s">
        <v>6</v>
      </c>
      <c r="B11" s="2">
        <v>45848</v>
      </c>
      <c r="C11" s="3">
        <v>1027</v>
      </c>
      <c r="D11" s="3" t="str">
        <f>TEXT(Tabela1[[#This Row],[DATA]],"MMMM")</f>
        <v>julho</v>
      </c>
      <c r="E11" s="5" t="str">
        <f>TEXT(Tabela1[[#This Row],[DATA]],"DDDD")</f>
        <v>quinta-feira</v>
      </c>
      <c r="F11" t="str">
        <f t="shared" si="0"/>
        <v>SEMANA 2</v>
      </c>
    </row>
    <row r="12" spans="1:6" x14ac:dyDescent="0.25">
      <c r="A12" t="s">
        <v>6</v>
      </c>
      <c r="B12" s="2">
        <v>45849</v>
      </c>
      <c r="C12" s="3">
        <v>2123</v>
      </c>
      <c r="D12" s="3" t="str">
        <f>TEXT(Tabela1[[#This Row],[DATA]],"MMMM")</f>
        <v>julho</v>
      </c>
      <c r="E12" s="5" t="str">
        <f>TEXT(Tabela1[[#This Row],[DATA]],"DDDD")</f>
        <v>sexta-feira</v>
      </c>
      <c r="F12" t="str">
        <f t="shared" si="0"/>
        <v>SEMANA 2</v>
      </c>
    </row>
    <row r="13" spans="1:6" x14ac:dyDescent="0.25">
      <c r="A13" t="s">
        <v>6</v>
      </c>
      <c r="B13" s="2">
        <v>45850</v>
      </c>
      <c r="C13" s="3">
        <v>1209</v>
      </c>
      <c r="D13" s="3" t="str">
        <f>TEXT(Tabela1[[#This Row],[DATA]],"MMMM")</f>
        <v>julho</v>
      </c>
      <c r="E13" s="5" t="str">
        <f>TEXT(Tabela1[[#This Row],[DATA]],"DDDD")</f>
        <v>sábado</v>
      </c>
      <c r="F13" t="str">
        <f t="shared" si="0"/>
        <v>SEMANA 2</v>
      </c>
    </row>
    <row r="14" spans="1:6" x14ac:dyDescent="0.25">
      <c r="A14" t="s">
        <v>6</v>
      </c>
      <c r="B14" s="2">
        <v>45851</v>
      </c>
      <c r="C14" s="3">
        <v>1315</v>
      </c>
      <c r="D14" s="3" t="str">
        <f>TEXT(Tabela1[[#This Row],[DATA]],"MMMM")</f>
        <v>julho</v>
      </c>
      <c r="E14" s="5" t="str">
        <f>TEXT(Tabela1[[#This Row],[DATA]],"DDDD")</f>
        <v>domingo</v>
      </c>
      <c r="F14" t="str">
        <f t="shared" si="0"/>
        <v>SEMANA 3</v>
      </c>
    </row>
    <row r="15" spans="1:6" x14ac:dyDescent="0.25">
      <c r="A15" t="s">
        <v>6</v>
      </c>
      <c r="B15" s="2">
        <v>45852</v>
      </c>
      <c r="C15" s="3">
        <v>1362</v>
      </c>
      <c r="D15" s="3" t="str">
        <f>TEXT(Tabela1[[#This Row],[DATA]],"MMMM")</f>
        <v>julho</v>
      </c>
      <c r="E15" s="5" t="str">
        <f>TEXT(Tabela1[[#This Row],[DATA]],"DDDD")</f>
        <v>segunda-feira</v>
      </c>
      <c r="F15" t="str">
        <f t="shared" si="0"/>
        <v>SEMANA 3</v>
      </c>
    </row>
    <row r="16" spans="1:6" x14ac:dyDescent="0.25">
      <c r="A16" t="s">
        <v>6</v>
      </c>
      <c r="B16" s="2">
        <v>45853</v>
      </c>
      <c r="C16" s="3">
        <v>1569</v>
      </c>
      <c r="D16" s="3" t="str">
        <f>TEXT(Tabela1[[#This Row],[DATA]],"MMMM")</f>
        <v>julho</v>
      </c>
      <c r="E16" s="5" t="str">
        <f>TEXT(Tabela1[[#This Row],[DATA]],"DDDD")</f>
        <v>terça-feira</v>
      </c>
      <c r="F16" t="str">
        <f t="shared" si="0"/>
        <v>SEMANA 3</v>
      </c>
    </row>
    <row r="17" spans="1:6" x14ac:dyDescent="0.25">
      <c r="A17" t="s">
        <v>6</v>
      </c>
      <c r="B17" s="2">
        <v>45854</v>
      </c>
      <c r="C17" s="3">
        <v>1416</v>
      </c>
      <c r="D17" s="3" t="str">
        <f>TEXT(Tabela1[[#This Row],[DATA]],"MMMM")</f>
        <v>julho</v>
      </c>
      <c r="E17" s="5" t="str">
        <f>TEXT(Tabela1[[#This Row],[DATA]],"DDDD")</f>
        <v>quarta-feira</v>
      </c>
      <c r="F17" t="str">
        <f t="shared" si="0"/>
        <v>SEMANA 3</v>
      </c>
    </row>
    <row r="18" spans="1:6" x14ac:dyDescent="0.25">
      <c r="A18" t="s">
        <v>6</v>
      </c>
      <c r="B18" s="2">
        <v>45855</v>
      </c>
      <c r="C18" s="3">
        <v>1530.5</v>
      </c>
      <c r="D18" s="3" t="str">
        <f>TEXT(Tabela1[[#This Row],[DATA]],"MMMM")</f>
        <v>julho</v>
      </c>
      <c r="E18" s="5" t="str">
        <f>TEXT(Tabela1[[#This Row],[DATA]],"DDDD")</f>
        <v>quinta-feira</v>
      </c>
      <c r="F18" t="str">
        <f t="shared" si="0"/>
        <v>SEMANA 3</v>
      </c>
    </row>
    <row r="19" spans="1:6" x14ac:dyDescent="0.25">
      <c r="A19" t="s">
        <v>6</v>
      </c>
      <c r="B19" s="2">
        <v>45856</v>
      </c>
      <c r="C19" s="3">
        <v>1521.5</v>
      </c>
      <c r="D19" s="3" t="str">
        <f>TEXT(Tabela1[[#This Row],[DATA]],"MMMM")</f>
        <v>julho</v>
      </c>
      <c r="E19" s="5" t="str">
        <f>TEXT(Tabela1[[#This Row],[DATA]],"DDDD")</f>
        <v>sexta-feira</v>
      </c>
      <c r="F19" t="str">
        <f t="shared" si="0"/>
        <v>SEMANA 3</v>
      </c>
    </row>
    <row r="20" spans="1:6" x14ac:dyDescent="0.25">
      <c r="A20" t="s">
        <v>6</v>
      </c>
      <c r="B20" s="2">
        <v>45857</v>
      </c>
      <c r="C20" s="3">
        <v>1215</v>
      </c>
      <c r="D20" s="3" t="str">
        <f>TEXT(Tabela1[[#This Row],[DATA]],"MMMM")</f>
        <v>julho</v>
      </c>
      <c r="E20" s="5" t="str">
        <f>TEXT(Tabela1[[#This Row],[DATA]],"DDDD")</f>
        <v>sábado</v>
      </c>
      <c r="F20" t="str">
        <f t="shared" si="0"/>
        <v>SEMANA 3</v>
      </c>
    </row>
    <row r="21" spans="1:6" x14ac:dyDescent="0.25">
      <c r="A21" t="s">
        <v>6</v>
      </c>
      <c r="B21" s="2">
        <v>45858</v>
      </c>
      <c r="C21" s="3">
        <v>1158</v>
      </c>
      <c r="D21" s="3" t="str">
        <f>TEXT(Tabela1[[#This Row],[DATA]],"MMMM")</f>
        <v>julho</v>
      </c>
      <c r="E21" s="5" t="str">
        <f>TEXT(Tabela1[[#This Row],[DATA]],"DDDD")</f>
        <v>domingo</v>
      </c>
      <c r="F21" t="str">
        <f t="shared" si="0"/>
        <v>SEMANA 4</v>
      </c>
    </row>
    <row r="22" spans="1:6" x14ac:dyDescent="0.25">
      <c r="A22" t="s">
        <v>6</v>
      </c>
      <c r="B22" s="2">
        <v>45859</v>
      </c>
      <c r="C22" s="3">
        <v>1570</v>
      </c>
      <c r="D22" s="3" t="str">
        <f>TEXT(Tabela1[[#This Row],[DATA]],"MMMM")</f>
        <v>julho</v>
      </c>
      <c r="E22" s="5" t="str">
        <f>TEXT(Tabela1[[#This Row],[DATA]],"DDDD")</f>
        <v>segunda-feira</v>
      </c>
      <c r="F22" t="str">
        <f t="shared" si="0"/>
        <v>SEMANA 4</v>
      </c>
    </row>
    <row r="23" spans="1:6" x14ac:dyDescent="0.25">
      <c r="A23" t="s">
        <v>6</v>
      </c>
      <c r="B23" s="2">
        <v>45860</v>
      </c>
      <c r="C23" s="3">
        <v>1173</v>
      </c>
      <c r="D23" s="3" t="str">
        <f>TEXT(Tabela1[[#This Row],[DATA]],"MMMM")</f>
        <v>julho</v>
      </c>
      <c r="E23" s="5" t="str">
        <f>TEXT(Tabela1[[#This Row],[DATA]],"DDDD")</f>
        <v>terça-feira</v>
      </c>
      <c r="F23" t="str">
        <f t="shared" si="0"/>
        <v>SEMANA 4</v>
      </c>
    </row>
    <row r="24" spans="1:6" x14ac:dyDescent="0.25">
      <c r="A24" t="s">
        <v>6</v>
      </c>
      <c r="B24" s="2">
        <v>45861</v>
      </c>
      <c r="C24" s="3">
        <v>1210</v>
      </c>
      <c r="D24" s="3" t="str">
        <f>TEXT(Tabela1[[#This Row],[DATA]],"MMMM")</f>
        <v>julho</v>
      </c>
      <c r="E24" s="5" t="str">
        <f>TEXT(Tabela1[[#This Row],[DATA]],"DDDD")</f>
        <v>quarta-feira</v>
      </c>
      <c r="F24" t="str">
        <f t="shared" si="0"/>
        <v>SEMANA 4</v>
      </c>
    </row>
    <row r="25" spans="1:6" x14ac:dyDescent="0.25">
      <c r="A25" t="s">
        <v>6</v>
      </c>
      <c r="B25" s="2">
        <v>45862</v>
      </c>
      <c r="C25" s="3">
        <v>1530.5</v>
      </c>
      <c r="D25" s="3" t="str">
        <f>TEXT(Tabela1[[#This Row],[DATA]],"MMMM")</f>
        <v>julho</v>
      </c>
      <c r="E25" s="5" t="str">
        <f>TEXT(Tabela1[[#This Row],[DATA]],"DDDD")</f>
        <v>quinta-feira</v>
      </c>
      <c r="F25" t="str">
        <f t="shared" si="0"/>
        <v>SEMANA 4</v>
      </c>
    </row>
    <row r="26" spans="1:6" x14ac:dyDescent="0.25">
      <c r="A26" t="s">
        <v>6</v>
      </c>
      <c r="B26" s="2">
        <v>45863</v>
      </c>
      <c r="C26" s="3">
        <v>1514.9</v>
      </c>
      <c r="D26" s="3" t="str">
        <f>TEXT(Tabela1[[#This Row],[DATA]],"MMMM")</f>
        <v>julho</v>
      </c>
      <c r="E26" s="5" t="str">
        <f>TEXT(Tabela1[[#This Row],[DATA]],"DDDD")</f>
        <v>sexta-feira</v>
      </c>
      <c r="F26" t="str">
        <f t="shared" si="0"/>
        <v>SEMANA 4</v>
      </c>
    </row>
    <row r="27" spans="1:6" x14ac:dyDescent="0.25">
      <c r="A27" t="s">
        <v>6</v>
      </c>
      <c r="B27" s="2">
        <v>45864</v>
      </c>
      <c r="C27" s="3">
        <v>1635.5</v>
      </c>
      <c r="D27" s="3" t="str">
        <f>TEXT(Tabela1[[#This Row],[DATA]],"MMMM")</f>
        <v>julho</v>
      </c>
      <c r="E27" s="5" t="str">
        <f>TEXT(Tabela1[[#This Row],[DATA]],"DDDD")</f>
        <v>sábado</v>
      </c>
      <c r="F27" t="str">
        <f t="shared" si="0"/>
        <v>SEMANA 4</v>
      </c>
    </row>
    <row r="28" spans="1:6" x14ac:dyDescent="0.25">
      <c r="A28" t="s">
        <v>6</v>
      </c>
      <c r="B28" s="2">
        <v>45865</v>
      </c>
      <c r="C28" s="3">
        <v>1315</v>
      </c>
      <c r="D28" s="3" t="str">
        <f>TEXT(Tabela1[[#This Row],[DATA]],"MMMM")</f>
        <v>julho</v>
      </c>
      <c r="E28" s="5" t="str">
        <f>TEXT(Tabela1[[#This Row],[DATA]],"DDDD")</f>
        <v>domingo</v>
      </c>
      <c r="F28" t="str">
        <f t="shared" si="0"/>
        <v>SEMANA 5</v>
      </c>
    </row>
    <row r="29" spans="1:6" x14ac:dyDescent="0.25">
      <c r="A29" t="s">
        <v>6</v>
      </c>
      <c r="B29" s="2">
        <v>45866</v>
      </c>
      <c r="C29" s="3">
        <v>989</v>
      </c>
      <c r="D29" s="3" t="str">
        <f>TEXT(Tabela1[[#This Row],[DATA]],"MMMM")</f>
        <v>julho</v>
      </c>
      <c r="E29" s="5" t="str">
        <f>TEXT(Tabela1[[#This Row],[DATA]],"DDDD")</f>
        <v>segunda-feira</v>
      </c>
      <c r="F29" t="str">
        <f t="shared" si="0"/>
        <v>SEMANA 5</v>
      </c>
    </row>
    <row r="30" spans="1:6" x14ac:dyDescent="0.25">
      <c r="A30" t="s">
        <v>6</v>
      </c>
      <c r="B30" s="2">
        <v>45867</v>
      </c>
      <c r="C30" s="3">
        <v>1261</v>
      </c>
      <c r="D30" s="3" t="str">
        <f>TEXT(Tabela1[[#This Row],[DATA]],"MMMM")</f>
        <v>julho</v>
      </c>
      <c r="E30" s="5" t="str">
        <f>TEXT(Tabela1[[#This Row],[DATA]],"DDDD")</f>
        <v>terça-feira</v>
      </c>
      <c r="F30" t="str">
        <f t="shared" si="0"/>
        <v>SEMANA 5</v>
      </c>
    </row>
    <row r="31" spans="1:6" x14ac:dyDescent="0.25">
      <c r="A31" t="s">
        <v>6</v>
      </c>
      <c r="B31" s="2">
        <v>45868</v>
      </c>
      <c r="C31" s="3">
        <v>1248</v>
      </c>
      <c r="D31" s="3" t="str">
        <f>TEXT(Tabela1[[#This Row],[DATA]],"MMMM")</f>
        <v>julho</v>
      </c>
      <c r="E31" s="5" t="str">
        <f>TEXT(Tabela1[[#This Row],[DATA]],"DDDD")</f>
        <v>quarta-feira</v>
      </c>
      <c r="F31" t="str">
        <f t="shared" si="0"/>
        <v>SEMANA 5</v>
      </c>
    </row>
    <row r="32" spans="1:6" x14ac:dyDescent="0.25">
      <c r="A32" t="s">
        <v>6</v>
      </c>
      <c r="B32" s="2">
        <v>45869</v>
      </c>
      <c r="C32" s="3">
        <v>1028</v>
      </c>
      <c r="D32" s="3" t="str">
        <f>TEXT(Tabela1[[#This Row],[DATA]],"MMMM")</f>
        <v>julho</v>
      </c>
      <c r="E32" s="5" t="str">
        <f>TEXT(Tabela1[[#This Row],[DATA]],"DDDD")</f>
        <v>quinta-feira</v>
      </c>
      <c r="F32" t="str">
        <f t="shared" si="0"/>
        <v>SEMANA 5</v>
      </c>
    </row>
    <row r="33" spans="1:6" x14ac:dyDescent="0.25">
      <c r="A33" t="s">
        <v>6</v>
      </c>
      <c r="B33" s="2">
        <v>45870</v>
      </c>
      <c r="C33" s="3">
        <v>1342</v>
      </c>
      <c r="D33" s="3" t="str">
        <f>TEXT(Tabela1[[#This Row],[DATA]],"MMMM")</f>
        <v>agosto</v>
      </c>
      <c r="E33" s="5" t="str">
        <f>TEXT(Tabela1[[#This Row],[DATA]],"DDDD")</f>
        <v>sexta-feira</v>
      </c>
      <c r="F33" t="s">
        <v>7</v>
      </c>
    </row>
    <row r="34" spans="1:6" x14ac:dyDescent="0.25">
      <c r="A34" t="s">
        <v>6</v>
      </c>
      <c r="B34" s="2">
        <v>45871</v>
      </c>
      <c r="C34" s="3">
        <v>1313</v>
      </c>
      <c r="D34" s="3" t="str">
        <f>TEXT(Tabela1[[#This Row],[DATA]],"MMMM")</f>
        <v>agosto</v>
      </c>
      <c r="E34" s="5" t="str">
        <f>TEXT(Tabela1[[#This Row],[DATA]],"DDDD")</f>
        <v>sábado</v>
      </c>
      <c r="F34" t="s">
        <v>7</v>
      </c>
    </row>
    <row r="35" spans="1:6" x14ac:dyDescent="0.25">
      <c r="A35" t="s">
        <v>6</v>
      </c>
      <c r="B35" s="2">
        <v>45872</v>
      </c>
      <c r="C35" s="3">
        <v>1241</v>
      </c>
      <c r="D35" s="3" t="str">
        <f>TEXT(Tabela1[[#This Row],[DATA]],"MMMM")</f>
        <v>agosto</v>
      </c>
      <c r="E35" s="5" t="str">
        <f>TEXT(Tabela1[[#This Row],[DATA]],"DDDD")</f>
        <v>domingo</v>
      </c>
      <c r="F35" t="s">
        <v>7</v>
      </c>
    </row>
    <row r="36" spans="1:6" x14ac:dyDescent="0.25">
      <c r="A36" t="s">
        <v>6</v>
      </c>
      <c r="B36" s="2">
        <v>45873</v>
      </c>
      <c r="C36" s="3">
        <v>820.5</v>
      </c>
      <c r="D36" s="3" t="str">
        <f>TEXT(Tabela1[[#This Row],[DATA]],"MMMM")</f>
        <v>agosto</v>
      </c>
      <c r="E36" s="5" t="str">
        <f>TEXT(Tabela1[[#This Row],[DATA]],"DDDD")</f>
        <v>segunda-feira</v>
      </c>
      <c r="F36" t="s">
        <v>7</v>
      </c>
    </row>
    <row r="37" spans="1:6" x14ac:dyDescent="0.25">
      <c r="A37" t="s">
        <v>6</v>
      </c>
      <c r="B37" s="2">
        <v>45874</v>
      </c>
      <c r="C37" s="3">
        <v>1576</v>
      </c>
      <c r="D37" s="3" t="str">
        <f>TEXT(Tabela1[[#This Row],[DATA]],"MMMM")</f>
        <v>agosto</v>
      </c>
      <c r="E37" s="5" t="str">
        <f>TEXT(Tabela1[[#This Row],[DATA]],"DDDD")</f>
        <v>terça-feira</v>
      </c>
      <c r="F37" t="s">
        <v>7</v>
      </c>
    </row>
    <row r="38" spans="1:6" x14ac:dyDescent="0.25">
      <c r="A38" t="s">
        <v>6</v>
      </c>
      <c r="B38" s="2">
        <v>45875</v>
      </c>
      <c r="C38" s="3">
        <v>1254.01</v>
      </c>
      <c r="D38" s="3" t="str">
        <f>TEXT(Tabela1[[#This Row],[DATA]],"MMMM")</f>
        <v>agosto</v>
      </c>
      <c r="E38" s="5" t="str">
        <f>TEXT(Tabela1[[#This Row],[DATA]],"DDDD")</f>
        <v>quarta-feira</v>
      </c>
      <c r="F38" t="s">
        <v>7</v>
      </c>
    </row>
    <row r="39" spans="1:6" x14ac:dyDescent="0.25">
      <c r="A39" t="s">
        <v>6</v>
      </c>
      <c r="B39" s="2">
        <v>45876</v>
      </c>
      <c r="C39" s="3">
        <v>1164</v>
      </c>
      <c r="D39" s="3" t="str">
        <f>TEXT(Tabela1[[#This Row],[DATA]],"MMMM")</f>
        <v>agosto</v>
      </c>
      <c r="E39" s="5" t="str">
        <f>TEXT(Tabela1[[#This Row],[DATA]],"DDDD")</f>
        <v>quinta-feira</v>
      </c>
      <c r="F39" t="s">
        <v>7</v>
      </c>
    </row>
    <row r="40" spans="1:6" x14ac:dyDescent="0.25">
      <c r="A40" t="s">
        <v>6</v>
      </c>
      <c r="B40" s="2">
        <v>45877</v>
      </c>
      <c r="C40" s="3">
        <v>1348</v>
      </c>
      <c r="D40" s="3" t="str">
        <f>TEXT(Tabela1[[#This Row],[DATA]],"MMMM")</f>
        <v>agosto</v>
      </c>
      <c r="E40" s="5" t="str">
        <f>TEXT(Tabela1[[#This Row],[DATA]],"DDDD")</f>
        <v>sexta-feira</v>
      </c>
      <c r="F40" t="s">
        <v>7</v>
      </c>
    </row>
    <row r="41" spans="1:6" x14ac:dyDescent="0.25">
      <c r="A41" t="s">
        <v>6</v>
      </c>
      <c r="B41" s="2">
        <v>45878</v>
      </c>
      <c r="C41" s="3">
        <v>2480</v>
      </c>
      <c r="D41" s="3" t="str">
        <f>TEXT(Tabela1[[#This Row],[DATA]],"MMMM")</f>
        <v>agosto</v>
      </c>
      <c r="E41" s="5" t="str">
        <f>TEXT(Tabela1[[#This Row],[DATA]],"DDDD")</f>
        <v>sábado</v>
      </c>
      <c r="F41" t="s">
        <v>7</v>
      </c>
    </row>
    <row r="42" spans="1:6" x14ac:dyDescent="0.25">
      <c r="A42" t="s">
        <v>6</v>
      </c>
      <c r="B42" s="2">
        <v>45879</v>
      </c>
      <c r="C42" s="3">
        <v>1328</v>
      </c>
      <c r="D42" s="3" t="str">
        <f>TEXT(Tabela1[[#This Row],[DATA]],"MMMM")</f>
        <v>agosto</v>
      </c>
      <c r="E42" s="5" t="str">
        <f>TEXT(Tabela1[[#This Row],[DATA]],"DDDD")</f>
        <v>domingo</v>
      </c>
      <c r="F42" t="s">
        <v>8</v>
      </c>
    </row>
    <row r="43" spans="1:6" x14ac:dyDescent="0.25">
      <c r="A43" t="s">
        <v>6</v>
      </c>
      <c r="B43" s="2">
        <v>45880</v>
      </c>
      <c r="C43" s="3">
        <v>757.45</v>
      </c>
      <c r="D43" s="3" t="str">
        <f>TEXT(Tabela1[[#This Row],[DATA]],"MMMM")</f>
        <v>agosto</v>
      </c>
      <c r="E43" s="5" t="str">
        <f>TEXT(Tabela1[[#This Row],[DATA]],"DDDD")</f>
        <v>segunda-feira</v>
      </c>
      <c r="F43" t="s">
        <v>8</v>
      </c>
    </row>
    <row r="44" spans="1:6" x14ac:dyDescent="0.25">
      <c r="A44" t="s">
        <v>6</v>
      </c>
      <c r="B44" s="2">
        <v>45881</v>
      </c>
      <c r="C44" s="3">
        <v>1118.48</v>
      </c>
      <c r="D44" s="3" t="str">
        <f>TEXT(Tabela1[[#This Row],[DATA]],"MMMM")</f>
        <v>agosto</v>
      </c>
      <c r="E44" s="5" t="str">
        <f>TEXT(Tabela1[[#This Row],[DATA]],"DDDD")</f>
        <v>terça-feira</v>
      </c>
      <c r="F44" t="s">
        <v>8</v>
      </c>
    </row>
    <row r="45" spans="1:6" x14ac:dyDescent="0.25">
      <c r="A45" t="s">
        <v>6</v>
      </c>
      <c r="B45" s="2">
        <v>45882</v>
      </c>
      <c r="C45" s="3">
        <v>867.97</v>
      </c>
      <c r="D45" s="3" t="str">
        <f>TEXT(Tabela1[[#This Row],[DATA]],"MMMM")</f>
        <v>agosto</v>
      </c>
      <c r="E45" s="5" t="str">
        <f>TEXT(Tabela1[[#This Row],[DATA]],"DDDD")</f>
        <v>quarta-feira</v>
      </c>
      <c r="F45" t="s">
        <v>8</v>
      </c>
    </row>
    <row r="46" spans="1:6" x14ac:dyDescent="0.25">
      <c r="A46" t="s">
        <v>6</v>
      </c>
      <c r="B46" s="2">
        <v>45883</v>
      </c>
      <c r="C46" s="3">
        <v>1768.96</v>
      </c>
      <c r="D46" s="3" t="str">
        <f>TEXT(Tabela1[[#This Row],[DATA]],"MMMM")</f>
        <v>agosto</v>
      </c>
      <c r="E46" s="5" t="str">
        <f>TEXT(Tabela1[[#This Row],[DATA]],"DDDD")</f>
        <v>quinta-feira</v>
      </c>
      <c r="F46" t="s">
        <v>8</v>
      </c>
    </row>
    <row r="47" spans="1:6" x14ac:dyDescent="0.25">
      <c r="A47" t="s">
        <v>6</v>
      </c>
      <c r="B47" s="2">
        <v>45884</v>
      </c>
      <c r="C47" s="3">
        <v>902</v>
      </c>
      <c r="D47" s="3" t="str">
        <f>TEXT(Tabela1[[#This Row],[DATA]],"MMMM")</f>
        <v>agosto</v>
      </c>
      <c r="E47" s="5" t="str">
        <f>TEXT(Tabela1[[#This Row],[DATA]],"DDDD")</f>
        <v>sexta-feira</v>
      </c>
      <c r="F47" t="s">
        <v>8</v>
      </c>
    </row>
    <row r="48" spans="1:6" x14ac:dyDescent="0.25">
      <c r="A48" t="s">
        <v>6</v>
      </c>
      <c r="B48" s="2">
        <v>45885</v>
      </c>
      <c r="C48" s="3">
        <v>1289</v>
      </c>
      <c r="D48" s="3" t="str">
        <f>TEXT(Tabela1[[#This Row],[DATA]],"MMMM")</f>
        <v>agosto</v>
      </c>
      <c r="E48" s="5" t="str">
        <f>TEXT(Tabela1[[#This Row],[DATA]],"DDDD")</f>
        <v>sábado</v>
      </c>
      <c r="F48" t="s">
        <v>8</v>
      </c>
    </row>
    <row r="49" spans="1:6" x14ac:dyDescent="0.25">
      <c r="A49" t="s">
        <v>6</v>
      </c>
      <c r="B49" s="2">
        <v>45886</v>
      </c>
      <c r="C49" s="3">
        <v>1404</v>
      </c>
      <c r="D49" s="3" t="str">
        <f>TEXT(Tabela1[[#This Row],[DATA]],"MMMM")</f>
        <v>agosto</v>
      </c>
      <c r="E49" s="5" t="str">
        <f>TEXT(Tabela1[[#This Row],[DATA]],"DDDD")</f>
        <v>domingo</v>
      </c>
      <c r="F49" t="s">
        <v>9</v>
      </c>
    </row>
    <row r="50" spans="1:6" x14ac:dyDescent="0.25">
      <c r="A50" t="s">
        <v>6</v>
      </c>
      <c r="B50" s="2">
        <v>45887</v>
      </c>
      <c r="C50" s="3">
        <v>784</v>
      </c>
      <c r="D50" s="3" t="str">
        <f>TEXT(Tabela1[[#This Row],[DATA]],"MMMM")</f>
        <v>agosto</v>
      </c>
      <c r="E50" s="5" t="str">
        <f>TEXT(Tabela1[[#This Row],[DATA]],"DDDD")</f>
        <v>segunda-feira</v>
      </c>
      <c r="F50" t="s">
        <v>9</v>
      </c>
    </row>
    <row r="51" spans="1:6" x14ac:dyDescent="0.25">
      <c r="A51" t="s">
        <v>6</v>
      </c>
      <c r="B51" s="2">
        <v>45888</v>
      </c>
      <c r="C51" s="3">
        <v>1056.6500000000001</v>
      </c>
      <c r="D51" s="3" t="str">
        <f>TEXT(Tabela1[[#This Row],[DATA]],"MMMM")</f>
        <v>agosto</v>
      </c>
      <c r="E51" s="5" t="str">
        <f>TEXT(Tabela1[[#This Row],[DATA]],"DDDD")</f>
        <v>terça-feira</v>
      </c>
      <c r="F51" t="s">
        <v>9</v>
      </c>
    </row>
    <row r="52" spans="1:6" x14ac:dyDescent="0.25">
      <c r="A52" t="s">
        <v>6</v>
      </c>
      <c r="B52" s="2">
        <v>45889</v>
      </c>
      <c r="C52" s="21">
        <v>1018.4</v>
      </c>
      <c r="D52" s="21" t="str">
        <f>TEXT(Tabela1[[#This Row],[DATA]],"MMMM")</f>
        <v>agosto</v>
      </c>
      <c r="E52" s="5" t="str">
        <f>TEXT(Tabela1[[#This Row],[DATA]],"DDDD")</f>
        <v>quarta-feira</v>
      </c>
      <c r="F52" t="s">
        <v>9</v>
      </c>
    </row>
    <row r="53" spans="1:6" x14ac:dyDescent="0.25">
      <c r="A53" t="s">
        <v>6</v>
      </c>
      <c r="B53" s="2">
        <v>45890</v>
      </c>
      <c r="C53" s="21">
        <v>1383</v>
      </c>
      <c r="D53" s="21" t="str">
        <f>TEXT(Tabela1[[#This Row],[DATA]],"MMMM")</f>
        <v>agosto</v>
      </c>
      <c r="E53" s="5" t="str">
        <f>TEXT(Tabela1[[#This Row],[DATA]],"DDDD")</f>
        <v>quinta-feira</v>
      </c>
      <c r="F53" t="s">
        <v>9</v>
      </c>
    </row>
    <row r="54" spans="1:6" x14ac:dyDescent="0.25">
      <c r="A54" t="s">
        <v>6</v>
      </c>
      <c r="B54" s="2">
        <v>45891</v>
      </c>
      <c r="C54" s="21">
        <v>1406</v>
      </c>
      <c r="D54" s="21" t="str">
        <f>TEXT(Tabela1[[#This Row],[DATA]],"MMMM")</f>
        <v>agosto</v>
      </c>
      <c r="E54" s="5" t="str">
        <f>TEXT(Tabela1[[#This Row],[DATA]],"DDDD")</f>
        <v>sexta-feira</v>
      </c>
      <c r="F54" t="s">
        <v>9</v>
      </c>
    </row>
    <row r="55" spans="1:6" x14ac:dyDescent="0.25">
      <c r="A55" t="s">
        <v>6</v>
      </c>
      <c r="B55" s="2">
        <v>45892</v>
      </c>
      <c r="C55" s="21">
        <v>1552</v>
      </c>
      <c r="D55" s="21" t="str">
        <f>TEXT(Tabela1[[#This Row],[DATA]],"MMMM")</f>
        <v>agosto</v>
      </c>
      <c r="E55" s="5" t="str">
        <f>TEXT(Tabela1[[#This Row],[DATA]],"DDDD")</f>
        <v>sábado</v>
      </c>
      <c r="F55" t="s">
        <v>9</v>
      </c>
    </row>
    <row r="56" spans="1:6" x14ac:dyDescent="0.25">
      <c r="A56" t="s">
        <v>6</v>
      </c>
      <c r="B56" s="2">
        <v>45893</v>
      </c>
      <c r="C56" s="21">
        <v>806</v>
      </c>
      <c r="D56" s="21" t="str">
        <f>TEXT(Tabela1[[#This Row],[DATA]],"MMMM")</f>
        <v>agosto</v>
      </c>
      <c r="E56" s="5" t="str">
        <f>TEXT(Tabela1[[#This Row],[DATA]],"DDDD")</f>
        <v>domingo</v>
      </c>
      <c r="F56" t="s">
        <v>10</v>
      </c>
    </row>
    <row r="57" spans="1:6" x14ac:dyDescent="0.25">
      <c r="A57" t="s">
        <v>6</v>
      </c>
      <c r="B57" s="2">
        <v>45894</v>
      </c>
      <c r="C57" s="21">
        <v>1224.9000000000001</v>
      </c>
      <c r="D57" s="21" t="str">
        <f>TEXT(Tabela1[[#This Row],[DATA]],"MMMM")</f>
        <v>agosto</v>
      </c>
      <c r="E57" s="5" t="str">
        <f>TEXT(Tabela1[[#This Row],[DATA]],"DDDD")</f>
        <v>segunda-feira</v>
      </c>
      <c r="F57" t="s">
        <v>10</v>
      </c>
    </row>
    <row r="58" spans="1:6" x14ac:dyDescent="0.25">
      <c r="A58" t="s">
        <v>6</v>
      </c>
      <c r="B58" s="2">
        <v>45895</v>
      </c>
      <c r="C58" s="3">
        <v>1341.4500000000003</v>
      </c>
      <c r="D58" s="3" t="str">
        <f>TEXT(Tabela1[[#This Row],[DATA]],"MMMM")</f>
        <v>agosto</v>
      </c>
      <c r="E58" s="5" t="str">
        <f>TEXT(Tabela1[[#This Row],[DATA]],"DDDD")</f>
        <v>terça-feira</v>
      </c>
      <c r="F58" t="s">
        <v>10</v>
      </c>
    </row>
    <row r="59" spans="1:6" x14ac:dyDescent="0.25">
      <c r="A59" t="s">
        <v>6</v>
      </c>
      <c r="B59" s="2">
        <v>45896</v>
      </c>
      <c r="C59" s="3">
        <v>1124.4600000000003</v>
      </c>
      <c r="D59" s="3" t="str">
        <f>TEXT(Tabela1[[#This Row],[DATA]],"MMMM")</f>
        <v>agosto</v>
      </c>
      <c r="E59" s="5" t="str">
        <f>TEXT(Tabela1[[#This Row],[DATA]],"DDDD")</f>
        <v>quarta-feira</v>
      </c>
      <c r="F59" t="s">
        <v>10</v>
      </c>
    </row>
    <row r="60" spans="1:6" x14ac:dyDescent="0.25">
      <c r="A60" t="s">
        <v>6</v>
      </c>
      <c r="B60" s="2">
        <v>45897</v>
      </c>
      <c r="C60" s="21">
        <v>1263.53</v>
      </c>
      <c r="D60" s="3" t="str">
        <f>TEXT(Tabela1[[#This Row],[DATA]],"MMMM")</f>
        <v>agosto</v>
      </c>
      <c r="E60" s="5" t="str">
        <f>TEXT(Tabela1[[#This Row],[DATA]],"DDDD")</f>
        <v>quinta-feira</v>
      </c>
      <c r="F60" t="s">
        <v>10</v>
      </c>
    </row>
    <row r="61" spans="1:6" x14ac:dyDescent="0.25">
      <c r="A61" t="s">
        <v>6</v>
      </c>
      <c r="B61" s="2">
        <v>45898</v>
      </c>
      <c r="C61" s="21">
        <v>1753</v>
      </c>
      <c r="D61" s="3" t="str">
        <f>TEXT(Tabela1[[#This Row],[DATA]],"MMMM")</f>
        <v>agosto</v>
      </c>
      <c r="E61" s="5" t="str">
        <f>TEXT(Tabela1[[#This Row],[DATA]],"DDDD")</f>
        <v>sexta-feira</v>
      </c>
      <c r="F61" t="s">
        <v>10</v>
      </c>
    </row>
    <row r="62" spans="1:6" x14ac:dyDescent="0.25">
      <c r="A62" t="s">
        <v>6</v>
      </c>
      <c r="B62" s="2">
        <v>45899</v>
      </c>
      <c r="C62" s="21">
        <v>1559</v>
      </c>
      <c r="D62" s="3" t="str">
        <f>TEXT(Tabela1[[#This Row],[DATA]],"MMMM")</f>
        <v>agosto</v>
      </c>
      <c r="E62" s="5" t="str">
        <f>TEXT(Tabela1[[#This Row],[DATA]],"DDDD")</f>
        <v>sábado</v>
      </c>
      <c r="F62" t="s">
        <v>10</v>
      </c>
    </row>
    <row r="63" spans="1:6" x14ac:dyDescent="0.25">
      <c r="A63" t="s">
        <v>6</v>
      </c>
      <c r="B63" s="2">
        <v>45900</v>
      </c>
      <c r="C63" s="21">
        <v>1629</v>
      </c>
      <c r="D63" s="3" t="str">
        <f>TEXT(Tabela1[[#This Row],[DATA]],"MMMM")</f>
        <v>agosto</v>
      </c>
      <c r="E63" s="5" t="str">
        <f>TEXT(Tabela1[[#This Row],[DATA]],"DDDD")</f>
        <v>domingo</v>
      </c>
      <c r="F63" t="s">
        <v>10</v>
      </c>
    </row>
    <row r="64" spans="1:6" x14ac:dyDescent="0.25">
      <c r="A64" t="s">
        <v>11</v>
      </c>
      <c r="B64" s="2">
        <v>45839</v>
      </c>
      <c r="C64" s="3">
        <v>461</v>
      </c>
      <c r="D64" s="3" t="str">
        <f>TEXT(Tabela1[[#This Row],[DATA]],"MMMM")</f>
        <v>julho</v>
      </c>
      <c r="E64" s="5" t="str">
        <f>TEXT(Tabela1[[#This Row],[DATA]],"DDDD")</f>
        <v>terça-feira</v>
      </c>
      <c r="F64" t="str">
        <f t="shared" ref="F64:F93" si="1">_xlfn.CONCAT("SEMANA"," ",WEEKNUM(B64)-WEEKNUM(EOMONTH(B64,-1)+1)+1)</f>
        <v>SEMANA 1</v>
      </c>
    </row>
    <row r="65" spans="1:8" x14ac:dyDescent="0.25">
      <c r="A65" t="s">
        <v>11</v>
      </c>
      <c r="B65" s="2">
        <v>45840</v>
      </c>
      <c r="C65" s="3">
        <v>440.98</v>
      </c>
      <c r="D65" s="3" t="str">
        <f>TEXT(Tabela1[[#This Row],[DATA]],"MMMM")</f>
        <v>julho</v>
      </c>
      <c r="E65" s="5" t="str">
        <f>TEXT(Tabela1[[#This Row],[DATA]],"DDDD")</f>
        <v>quarta-feira</v>
      </c>
      <c r="F65" t="str">
        <f t="shared" si="1"/>
        <v>SEMANA 1</v>
      </c>
    </row>
    <row r="66" spans="1:8" x14ac:dyDescent="0.25">
      <c r="A66" t="s">
        <v>11</v>
      </c>
      <c r="B66" s="2">
        <v>45841</v>
      </c>
      <c r="C66" s="3">
        <v>177.88</v>
      </c>
      <c r="D66" s="3" t="str">
        <f>TEXT(Tabela1[[#This Row],[DATA]],"MMMM")</f>
        <v>julho</v>
      </c>
      <c r="E66" s="5" t="str">
        <f>TEXT(Tabela1[[#This Row],[DATA]],"DDDD")</f>
        <v>quinta-feira</v>
      </c>
      <c r="F66" t="str">
        <f t="shared" si="1"/>
        <v>SEMANA 1</v>
      </c>
    </row>
    <row r="67" spans="1:8" x14ac:dyDescent="0.25">
      <c r="A67" t="s">
        <v>11</v>
      </c>
      <c r="B67" s="2">
        <v>45842</v>
      </c>
      <c r="C67" s="3">
        <v>355</v>
      </c>
      <c r="D67" s="3" t="str">
        <f>TEXT(Tabela1[[#This Row],[DATA]],"MMMM")</f>
        <v>julho</v>
      </c>
      <c r="E67" s="5" t="str">
        <f>TEXT(Tabela1[[#This Row],[DATA]],"DDDD")</f>
        <v>sexta-feira</v>
      </c>
      <c r="F67" t="str">
        <f t="shared" si="1"/>
        <v>SEMANA 1</v>
      </c>
    </row>
    <row r="68" spans="1:8" x14ac:dyDescent="0.25">
      <c r="A68" t="s">
        <v>11</v>
      </c>
      <c r="B68" s="2">
        <v>45843</v>
      </c>
      <c r="C68" s="3">
        <v>912.99</v>
      </c>
      <c r="D68" s="3" t="str">
        <f>TEXT(Tabela1[[#This Row],[DATA]],"MMMM")</f>
        <v>julho</v>
      </c>
      <c r="E68" s="5" t="str">
        <f>TEXT(Tabela1[[#This Row],[DATA]],"DDDD")</f>
        <v>sábado</v>
      </c>
      <c r="F68" t="str">
        <f t="shared" si="1"/>
        <v>SEMANA 1</v>
      </c>
    </row>
    <row r="69" spans="1:8" x14ac:dyDescent="0.25">
      <c r="A69" t="s">
        <v>11</v>
      </c>
      <c r="B69" s="2">
        <v>45844</v>
      </c>
      <c r="C69" s="3">
        <v>609.94000000000005</v>
      </c>
      <c r="D69" s="3" t="str">
        <f>TEXT(Tabela1[[#This Row],[DATA]],"MMMM")</f>
        <v>julho</v>
      </c>
      <c r="E69" s="5" t="str">
        <f>TEXT(Tabela1[[#This Row],[DATA]],"DDDD")</f>
        <v>domingo</v>
      </c>
      <c r="F69" t="str">
        <f t="shared" si="1"/>
        <v>SEMANA 2</v>
      </c>
    </row>
    <row r="70" spans="1:8" x14ac:dyDescent="0.25">
      <c r="A70" t="s">
        <v>11</v>
      </c>
      <c r="B70" s="2">
        <v>45845</v>
      </c>
      <c r="C70" s="3">
        <v>735.73</v>
      </c>
      <c r="D70" s="3" t="str">
        <f>TEXT(Tabela1[[#This Row],[DATA]],"MMMM")</f>
        <v>julho</v>
      </c>
      <c r="E70" s="5" t="str">
        <f>TEXT(Tabela1[[#This Row],[DATA]],"DDDD")</f>
        <v>segunda-feira</v>
      </c>
      <c r="F70" t="str">
        <f t="shared" si="1"/>
        <v>SEMANA 2</v>
      </c>
    </row>
    <row r="71" spans="1:8" x14ac:dyDescent="0.25">
      <c r="A71" t="s">
        <v>11</v>
      </c>
      <c r="B71" s="2">
        <v>45846</v>
      </c>
      <c r="C71" s="3">
        <v>461</v>
      </c>
      <c r="D71" s="3" t="str">
        <f>TEXT(Tabela1[[#This Row],[DATA]],"MMMM")</f>
        <v>julho</v>
      </c>
      <c r="E71" s="5" t="str">
        <f>TEXT(Tabela1[[#This Row],[DATA]],"DDDD")</f>
        <v>terça-feira</v>
      </c>
      <c r="F71" t="str">
        <f t="shared" si="1"/>
        <v>SEMANA 2</v>
      </c>
    </row>
    <row r="72" spans="1:8" x14ac:dyDescent="0.25">
      <c r="A72" t="s">
        <v>11</v>
      </c>
      <c r="B72" s="2">
        <v>45847</v>
      </c>
      <c r="C72" s="3">
        <v>735.73</v>
      </c>
      <c r="D72" s="3" t="str">
        <f>TEXT(Tabela1[[#This Row],[DATA]],"MMMM")</f>
        <v>julho</v>
      </c>
      <c r="E72" s="5" t="str">
        <f>TEXT(Tabela1[[#This Row],[DATA]],"DDDD")</f>
        <v>quarta-feira</v>
      </c>
      <c r="F72" t="str">
        <f t="shared" si="1"/>
        <v>SEMANA 2</v>
      </c>
    </row>
    <row r="73" spans="1:8" x14ac:dyDescent="0.25">
      <c r="A73" t="s">
        <v>11</v>
      </c>
      <c r="B73" s="2">
        <v>45848</v>
      </c>
      <c r="C73" s="3">
        <v>342.98</v>
      </c>
      <c r="D73" s="3" t="str">
        <f>TEXT(Tabela1[[#This Row],[DATA]],"MMMM")</f>
        <v>julho</v>
      </c>
      <c r="E73" s="5" t="str">
        <f>TEXT(Tabela1[[#This Row],[DATA]],"DDDD")</f>
        <v>quinta-feira</v>
      </c>
      <c r="F73" t="str">
        <f t="shared" si="1"/>
        <v>SEMANA 2</v>
      </c>
    </row>
    <row r="74" spans="1:8" x14ac:dyDescent="0.25">
      <c r="A74" t="s">
        <v>11</v>
      </c>
      <c r="B74" s="2">
        <v>45849</v>
      </c>
      <c r="C74" s="3">
        <v>549.45000000000005</v>
      </c>
      <c r="D74" s="3" t="str">
        <f>TEXT(Tabela1[[#This Row],[DATA]],"MMMM")</f>
        <v>julho</v>
      </c>
      <c r="E74" s="5" t="str">
        <f>TEXT(Tabela1[[#This Row],[DATA]],"DDDD")</f>
        <v>sexta-feira</v>
      </c>
      <c r="F74" t="str">
        <f t="shared" si="1"/>
        <v>SEMANA 2</v>
      </c>
    </row>
    <row r="75" spans="1:8" x14ac:dyDescent="0.25">
      <c r="A75" t="s">
        <v>11</v>
      </c>
      <c r="B75" s="2">
        <v>45850</v>
      </c>
      <c r="C75" s="3">
        <v>507.9</v>
      </c>
      <c r="D75" s="3" t="str">
        <f>TEXT(Tabela1[[#This Row],[DATA]],"MMMM")</f>
        <v>julho</v>
      </c>
      <c r="E75" s="5" t="str">
        <f>TEXT(Tabela1[[#This Row],[DATA]],"DDDD")</f>
        <v>sábado</v>
      </c>
      <c r="F75" t="str">
        <f t="shared" si="1"/>
        <v>SEMANA 2</v>
      </c>
    </row>
    <row r="76" spans="1:8" x14ac:dyDescent="0.25">
      <c r="A76" t="s">
        <v>11</v>
      </c>
      <c r="B76" s="2">
        <v>45851</v>
      </c>
      <c r="C76" s="3">
        <v>609.94000000000005</v>
      </c>
      <c r="D76" s="3" t="str">
        <f>TEXT(Tabela1[[#This Row],[DATA]],"MMMM")</f>
        <v>julho</v>
      </c>
      <c r="E76" s="5" t="str">
        <f>TEXT(Tabela1[[#This Row],[DATA]],"DDDD")</f>
        <v>domingo</v>
      </c>
      <c r="F76" t="str">
        <f t="shared" si="1"/>
        <v>SEMANA 3</v>
      </c>
      <c r="H76" s="4" t="s">
        <v>12</v>
      </c>
    </row>
    <row r="77" spans="1:8" x14ac:dyDescent="0.25">
      <c r="A77" t="s">
        <v>11</v>
      </c>
      <c r="B77" s="2">
        <v>45852</v>
      </c>
      <c r="C77" s="3">
        <v>550.47</v>
      </c>
      <c r="D77" s="3" t="str">
        <f>TEXT(Tabela1[[#This Row],[DATA]],"MMMM")</f>
        <v>julho</v>
      </c>
      <c r="E77" s="5" t="str">
        <f>TEXT(Tabela1[[#This Row],[DATA]],"DDDD")</f>
        <v>segunda-feira</v>
      </c>
      <c r="F77" t="str">
        <f t="shared" si="1"/>
        <v>SEMANA 3</v>
      </c>
    </row>
    <row r="78" spans="1:8" x14ac:dyDescent="0.25">
      <c r="A78" t="s">
        <v>11</v>
      </c>
      <c r="B78" s="2">
        <v>45853</v>
      </c>
      <c r="C78" s="3">
        <v>461</v>
      </c>
      <c r="D78" s="3" t="str">
        <f>TEXT(Tabela1[[#This Row],[DATA]],"MMMM")</f>
        <v>julho</v>
      </c>
      <c r="E78" s="5" t="str">
        <f>TEXT(Tabela1[[#This Row],[DATA]],"DDDD")</f>
        <v>terça-feira</v>
      </c>
      <c r="F78" t="str">
        <f t="shared" si="1"/>
        <v>SEMANA 3</v>
      </c>
    </row>
    <row r="79" spans="1:8" x14ac:dyDescent="0.25">
      <c r="A79" t="s">
        <v>11</v>
      </c>
      <c r="B79" s="2">
        <v>45854</v>
      </c>
      <c r="C79" s="3">
        <v>578.48</v>
      </c>
      <c r="D79" s="3" t="str">
        <f>TEXT(Tabela1[[#This Row],[DATA]],"MMMM")</f>
        <v>julho</v>
      </c>
      <c r="E79" s="5" t="str">
        <f>TEXT(Tabela1[[#This Row],[DATA]],"DDDD")</f>
        <v>quarta-feira</v>
      </c>
      <c r="F79" t="str">
        <f t="shared" si="1"/>
        <v>SEMANA 3</v>
      </c>
    </row>
    <row r="80" spans="1:8" x14ac:dyDescent="0.25">
      <c r="A80" t="s">
        <v>11</v>
      </c>
      <c r="B80" s="2">
        <v>45855</v>
      </c>
      <c r="C80" s="3">
        <v>518.48</v>
      </c>
      <c r="D80" s="3" t="str">
        <f>TEXT(Tabela1[[#This Row],[DATA]],"MMMM")</f>
        <v>julho</v>
      </c>
      <c r="E80" s="5" t="str">
        <f>TEXT(Tabela1[[#This Row],[DATA]],"DDDD")</f>
        <v>quinta-feira</v>
      </c>
      <c r="F80" t="str">
        <f t="shared" si="1"/>
        <v>SEMANA 3</v>
      </c>
    </row>
    <row r="81" spans="1:6" x14ac:dyDescent="0.25">
      <c r="A81" t="s">
        <v>11</v>
      </c>
      <c r="B81" s="2">
        <v>45856</v>
      </c>
      <c r="C81" s="3">
        <v>641.23</v>
      </c>
      <c r="D81" s="3" t="str">
        <f>TEXT(Tabela1[[#This Row],[DATA]],"MMMM")</f>
        <v>julho</v>
      </c>
      <c r="E81" s="5" t="str">
        <f>TEXT(Tabela1[[#This Row],[DATA]],"DDDD")</f>
        <v>sexta-feira</v>
      </c>
      <c r="F81" t="str">
        <f t="shared" si="1"/>
        <v>SEMANA 3</v>
      </c>
    </row>
    <row r="82" spans="1:6" x14ac:dyDescent="0.25">
      <c r="A82" t="s">
        <v>11</v>
      </c>
      <c r="B82" s="2">
        <v>45857</v>
      </c>
      <c r="C82" s="3">
        <v>415</v>
      </c>
      <c r="D82" s="3" t="str">
        <f>TEXT(Tabela1[[#This Row],[DATA]],"MMMM")</f>
        <v>julho</v>
      </c>
      <c r="E82" s="5" t="str">
        <f>TEXT(Tabela1[[#This Row],[DATA]],"DDDD")</f>
        <v>sábado</v>
      </c>
      <c r="F82" t="str">
        <f t="shared" si="1"/>
        <v>SEMANA 3</v>
      </c>
    </row>
    <row r="83" spans="1:6" x14ac:dyDescent="0.25">
      <c r="A83" t="s">
        <v>11</v>
      </c>
      <c r="B83" s="2">
        <v>45858</v>
      </c>
      <c r="C83" s="3">
        <v>881.17</v>
      </c>
      <c r="D83" s="3" t="str">
        <f>TEXT(Tabela1[[#This Row],[DATA]],"MMMM")</f>
        <v>julho</v>
      </c>
      <c r="E83" s="5" t="str">
        <f>TEXT(Tabela1[[#This Row],[DATA]],"DDDD")</f>
        <v>domingo</v>
      </c>
      <c r="F83" t="str">
        <f t="shared" si="1"/>
        <v>SEMANA 4</v>
      </c>
    </row>
    <row r="84" spans="1:6" x14ac:dyDescent="0.25">
      <c r="A84" t="s">
        <v>11</v>
      </c>
      <c r="B84" s="2">
        <v>45859</v>
      </c>
      <c r="C84" s="3">
        <v>444.73</v>
      </c>
      <c r="D84" s="3" t="str">
        <f>TEXT(Tabela1[[#This Row],[DATA]],"MMMM")</f>
        <v>julho</v>
      </c>
      <c r="E84" s="5" t="str">
        <f>TEXT(Tabela1[[#This Row],[DATA]],"DDDD")</f>
        <v>segunda-feira</v>
      </c>
      <c r="F84" t="str">
        <f t="shared" si="1"/>
        <v>SEMANA 4</v>
      </c>
    </row>
    <row r="85" spans="1:6" x14ac:dyDescent="0.25">
      <c r="A85" t="s">
        <v>11</v>
      </c>
      <c r="B85" s="2">
        <v>45860</v>
      </c>
      <c r="C85" s="3">
        <v>461</v>
      </c>
      <c r="D85" s="3" t="str">
        <f>TEXT(Tabela1[[#This Row],[DATA]],"MMMM")</f>
        <v>julho</v>
      </c>
      <c r="E85" s="5" t="str">
        <f>TEXT(Tabela1[[#This Row],[DATA]],"DDDD")</f>
        <v>terça-feira</v>
      </c>
      <c r="F85" t="str">
        <f t="shared" si="1"/>
        <v>SEMANA 4</v>
      </c>
    </row>
    <row r="86" spans="1:6" x14ac:dyDescent="0.25">
      <c r="A86" t="s">
        <v>11</v>
      </c>
      <c r="B86" s="2">
        <v>45861</v>
      </c>
      <c r="C86" s="3">
        <v>535.22</v>
      </c>
      <c r="D86" s="3" t="str">
        <f>TEXT(Tabela1[[#This Row],[DATA]],"MMMM")</f>
        <v>julho</v>
      </c>
      <c r="E86" s="5" t="str">
        <f>TEXT(Tabela1[[#This Row],[DATA]],"DDDD")</f>
        <v>quarta-feira</v>
      </c>
      <c r="F86" t="str">
        <f t="shared" si="1"/>
        <v>SEMANA 4</v>
      </c>
    </row>
    <row r="87" spans="1:6" x14ac:dyDescent="0.25">
      <c r="A87" t="s">
        <v>11</v>
      </c>
      <c r="B87" s="2">
        <v>45862</v>
      </c>
      <c r="C87" s="3">
        <v>365</v>
      </c>
      <c r="D87" s="3" t="str">
        <f>TEXT(Tabela1[[#This Row],[DATA]],"MMMM")</f>
        <v>julho</v>
      </c>
      <c r="E87" s="5" t="str">
        <f>TEXT(Tabela1[[#This Row],[DATA]],"DDDD")</f>
        <v>quinta-feira</v>
      </c>
      <c r="F87" t="str">
        <f t="shared" si="1"/>
        <v>SEMANA 4</v>
      </c>
    </row>
    <row r="88" spans="1:6" x14ac:dyDescent="0.25">
      <c r="A88" t="s">
        <v>11</v>
      </c>
      <c r="B88" s="2">
        <v>45863</v>
      </c>
      <c r="C88" s="3">
        <v>928.91</v>
      </c>
      <c r="D88" s="3" t="str">
        <f>TEXT(Tabela1[[#This Row],[DATA]],"MMMM")</f>
        <v>julho</v>
      </c>
      <c r="E88" s="5" t="str">
        <f>TEXT(Tabela1[[#This Row],[DATA]],"DDDD")</f>
        <v>sexta-feira</v>
      </c>
      <c r="F88" t="str">
        <f t="shared" si="1"/>
        <v>SEMANA 4</v>
      </c>
    </row>
    <row r="89" spans="1:6" x14ac:dyDescent="0.25">
      <c r="A89" t="s">
        <v>11</v>
      </c>
      <c r="B89" s="2">
        <v>45864</v>
      </c>
      <c r="C89" s="3">
        <v>861.28</v>
      </c>
      <c r="D89" s="3" t="str">
        <f>TEXT(Tabela1[[#This Row],[DATA]],"MMMM")</f>
        <v>julho</v>
      </c>
      <c r="E89" s="5" t="str">
        <f>TEXT(Tabela1[[#This Row],[DATA]],"DDDD")</f>
        <v>sábado</v>
      </c>
      <c r="F89" t="str">
        <f t="shared" si="1"/>
        <v>SEMANA 4</v>
      </c>
    </row>
    <row r="90" spans="1:6" x14ac:dyDescent="0.25">
      <c r="A90" t="s">
        <v>11</v>
      </c>
      <c r="B90" s="2">
        <v>45865</v>
      </c>
      <c r="C90" s="3">
        <v>881.17</v>
      </c>
      <c r="D90" s="3" t="str">
        <f>TEXT(Tabela1[[#This Row],[DATA]],"MMMM")</f>
        <v>julho</v>
      </c>
      <c r="E90" s="5" t="str">
        <f>TEXT(Tabela1[[#This Row],[DATA]],"DDDD")</f>
        <v>domingo</v>
      </c>
      <c r="F90" t="str">
        <f t="shared" si="1"/>
        <v>SEMANA 5</v>
      </c>
    </row>
    <row r="91" spans="1:6" x14ac:dyDescent="0.25">
      <c r="A91" t="s">
        <v>11</v>
      </c>
      <c r="B91" s="2">
        <v>45866</v>
      </c>
      <c r="C91" s="3">
        <v>444.73</v>
      </c>
      <c r="D91" s="3" t="str">
        <f>TEXT(Tabela1[[#This Row],[DATA]],"MMMM")</f>
        <v>julho</v>
      </c>
      <c r="E91" s="5" t="str">
        <f>TEXT(Tabela1[[#This Row],[DATA]],"DDDD")</f>
        <v>segunda-feira</v>
      </c>
      <c r="F91" t="str">
        <f t="shared" si="1"/>
        <v>SEMANA 5</v>
      </c>
    </row>
    <row r="92" spans="1:6" x14ac:dyDescent="0.25">
      <c r="A92" t="s">
        <v>11</v>
      </c>
      <c r="B92" s="2">
        <v>45867</v>
      </c>
      <c r="C92" s="3">
        <v>652</v>
      </c>
      <c r="D92" s="3" t="str">
        <f>TEXT(Tabela1[[#This Row],[DATA]],"MMMM")</f>
        <v>julho</v>
      </c>
      <c r="E92" s="5" t="str">
        <f>TEXT(Tabela1[[#This Row],[DATA]],"DDDD")</f>
        <v>terça-feira</v>
      </c>
      <c r="F92" t="str">
        <f t="shared" si="1"/>
        <v>SEMANA 5</v>
      </c>
    </row>
    <row r="93" spans="1:6" x14ac:dyDescent="0.25">
      <c r="A93" t="s">
        <v>11</v>
      </c>
      <c r="B93" s="2">
        <v>45868</v>
      </c>
      <c r="C93" s="3">
        <v>397.99</v>
      </c>
      <c r="D93" s="3" t="str">
        <f>TEXT(Tabela1[[#This Row],[DATA]],"MMMM")</f>
        <v>julho</v>
      </c>
      <c r="E93" s="5" t="str">
        <f>TEXT(Tabela1[[#This Row],[DATA]],"DDDD")</f>
        <v>quarta-feira</v>
      </c>
      <c r="F93" t="str">
        <f t="shared" si="1"/>
        <v>SEMANA 5</v>
      </c>
    </row>
    <row r="94" spans="1:6" x14ac:dyDescent="0.25">
      <c r="A94" t="s">
        <v>11</v>
      </c>
      <c r="B94" s="2">
        <v>45870</v>
      </c>
      <c r="C94" s="3">
        <v>580.98</v>
      </c>
      <c r="D94" s="3" t="str">
        <f>TEXT(Tabela1[[#This Row],[DATA]],"MMMM")</f>
        <v>agosto</v>
      </c>
      <c r="E94" s="5" t="str">
        <f>TEXT(Tabela1[[#This Row],[DATA]],"DDDD")</f>
        <v>sexta-feira</v>
      </c>
      <c r="F94" t="s">
        <v>7</v>
      </c>
    </row>
    <row r="95" spans="1:6" x14ac:dyDescent="0.25">
      <c r="A95" t="s">
        <v>11</v>
      </c>
      <c r="B95" s="2">
        <v>45871</v>
      </c>
      <c r="C95" s="3">
        <v>463.84</v>
      </c>
      <c r="D95" s="3" t="str">
        <f>TEXT(Tabela1[[#This Row],[DATA]],"MMMM")</f>
        <v>agosto</v>
      </c>
      <c r="E95" s="5" t="str">
        <f>TEXT(Tabela1[[#This Row],[DATA]],"DDDD")</f>
        <v>sábado</v>
      </c>
      <c r="F95" t="s">
        <v>7</v>
      </c>
    </row>
    <row r="96" spans="1:6" x14ac:dyDescent="0.25">
      <c r="A96" t="s">
        <v>11</v>
      </c>
      <c r="B96" s="2">
        <v>45872</v>
      </c>
      <c r="C96" s="3">
        <v>622</v>
      </c>
      <c r="D96" s="3" t="str">
        <f>TEXT(Tabela1[[#This Row],[DATA]],"MMMM")</f>
        <v>agosto</v>
      </c>
      <c r="E96" s="5" t="str">
        <f>TEXT(Tabela1[[#This Row],[DATA]],"DDDD")</f>
        <v>domingo</v>
      </c>
      <c r="F96" t="s">
        <v>7</v>
      </c>
    </row>
    <row r="97" spans="1:6" x14ac:dyDescent="0.25">
      <c r="A97" t="s">
        <v>11</v>
      </c>
      <c r="B97" s="2">
        <v>45873</v>
      </c>
      <c r="C97" s="3">
        <v>301.5</v>
      </c>
      <c r="D97" s="3" t="str">
        <f>TEXT(Tabela1[[#This Row],[DATA]],"MMMM")</f>
        <v>agosto</v>
      </c>
      <c r="E97" s="5" t="str">
        <f>TEXT(Tabela1[[#This Row],[DATA]],"DDDD")</f>
        <v>segunda-feira</v>
      </c>
      <c r="F97" t="s">
        <v>7</v>
      </c>
    </row>
    <row r="98" spans="1:6" x14ac:dyDescent="0.25">
      <c r="A98" t="s">
        <v>11</v>
      </c>
      <c r="B98" s="2">
        <v>45874</v>
      </c>
      <c r="C98" s="3">
        <v>466</v>
      </c>
      <c r="D98" s="3" t="str">
        <f>TEXT(Tabela1[[#This Row],[DATA]],"MMMM")</f>
        <v>agosto</v>
      </c>
      <c r="E98" s="5" t="str">
        <f>TEXT(Tabela1[[#This Row],[DATA]],"DDDD")</f>
        <v>terça-feira</v>
      </c>
      <c r="F98" t="s">
        <v>7</v>
      </c>
    </row>
    <row r="99" spans="1:6" x14ac:dyDescent="0.25">
      <c r="A99" t="s">
        <v>11</v>
      </c>
      <c r="B99" s="2">
        <v>45875</v>
      </c>
      <c r="C99" s="3">
        <v>566.95000000000005</v>
      </c>
      <c r="D99" s="3" t="str">
        <f>TEXT(Tabela1[[#This Row],[DATA]],"MMMM")</f>
        <v>agosto</v>
      </c>
      <c r="E99" s="5" t="str">
        <f>TEXT(Tabela1[[#This Row],[DATA]],"DDDD")</f>
        <v>quarta-feira</v>
      </c>
      <c r="F99" t="s">
        <v>7</v>
      </c>
    </row>
    <row r="100" spans="1:6" x14ac:dyDescent="0.25">
      <c r="A100" t="s">
        <v>11</v>
      </c>
      <c r="B100" s="2">
        <v>45876</v>
      </c>
      <c r="C100" s="3">
        <v>457.99</v>
      </c>
      <c r="D100" s="3" t="str">
        <f>TEXT(Tabela1[[#This Row],[DATA]],"MMMM")</f>
        <v>agosto</v>
      </c>
      <c r="E100" s="5" t="str">
        <f>TEXT(Tabela1[[#This Row],[DATA]],"DDDD")</f>
        <v>quinta-feira</v>
      </c>
      <c r="F100" t="s">
        <v>7</v>
      </c>
    </row>
    <row r="101" spans="1:6" x14ac:dyDescent="0.25">
      <c r="A101" t="s">
        <v>11</v>
      </c>
      <c r="B101" s="2">
        <v>45877</v>
      </c>
      <c r="C101" s="3">
        <v>644.45000000000005</v>
      </c>
      <c r="D101" s="3" t="str">
        <f>TEXT(Tabela1[[#This Row],[DATA]],"MMMM")</f>
        <v>agosto</v>
      </c>
      <c r="E101" s="5" t="str">
        <f>TEXT(Tabela1[[#This Row],[DATA]],"DDDD")</f>
        <v>sexta-feira</v>
      </c>
      <c r="F101" t="s">
        <v>7</v>
      </c>
    </row>
    <row r="102" spans="1:6" x14ac:dyDescent="0.25">
      <c r="A102" t="s">
        <v>11</v>
      </c>
      <c r="B102" s="2">
        <v>45878</v>
      </c>
      <c r="C102" s="3">
        <v>486.95</v>
      </c>
      <c r="D102" s="3" t="str">
        <f>TEXT(Tabela1[[#This Row],[DATA]],"MMMM")</f>
        <v>agosto</v>
      </c>
      <c r="E102" s="5" t="str">
        <f>TEXT(Tabela1[[#This Row],[DATA]],"DDDD")</f>
        <v>sábado</v>
      </c>
      <c r="F102" t="s">
        <v>7</v>
      </c>
    </row>
    <row r="103" spans="1:6" x14ac:dyDescent="0.25">
      <c r="A103" t="s">
        <v>11</v>
      </c>
      <c r="B103" s="2">
        <v>45879</v>
      </c>
      <c r="C103" s="3">
        <v>924.89</v>
      </c>
      <c r="D103" s="3" t="str">
        <f>TEXT(Tabela1[[#This Row],[DATA]],"MMMM")</f>
        <v>agosto</v>
      </c>
      <c r="E103" s="5" t="str">
        <f>TEXT(Tabela1[[#This Row],[DATA]],"DDDD")</f>
        <v>domingo</v>
      </c>
      <c r="F103" t="s">
        <v>8</v>
      </c>
    </row>
    <row r="104" spans="1:6" x14ac:dyDescent="0.25">
      <c r="A104" t="s">
        <v>11</v>
      </c>
      <c r="B104" s="2">
        <v>45880</v>
      </c>
      <c r="C104" s="3">
        <v>425.73</v>
      </c>
      <c r="D104" s="3" t="str">
        <f>TEXT(Tabela1[[#This Row],[DATA]],"MMMM")</f>
        <v>agosto</v>
      </c>
      <c r="E104" s="5" t="str">
        <f>TEXT(Tabela1[[#This Row],[DATA]],"DDDD")</f>
        <v>segunda-feira</v>
      </c>
      <c r="F104" t="s">
        <v>8</v>
      </c>
    </row>
    <row r="105" spans="1:6" x14ac:dyDescent="0.25">
      <c r="A105" t="s">
        <v>11</v>
      </c>
      <c r="B105" s="2">
        <v>45881</v>
      </c>
      <c r="C105" s="3">
        <v>304.98</v>
      </c>
      <c r="D105" s="3" t="str">
        <f>TEXT(Tabela1[[#This Row],[DATA]],"MMMM")</f>
        <v>agosto</v>
      </c>
      <c r="E105" s="5" t="str">
        <f>TEXT(Tabela1[[#This Row],[DATA]],"DDDD")</f>
        <v>terça-feira</v>
      </c>
      <c r="F105" t="s">
        <v>8</v>
      </c>
    </row>
    <row r="106" spans="1:6" x14ac:dyDescent="0.25">
      <c r="A106" t="s">
        <v>11</v>
      </c>
      <c r="B106" s="2">
        <v>45882</v>
      </c>
      <c r="C106" s="3">
        <v>369.99</v>
      </c>
      <c r="D106" s="3" t="str">
        <f>TEXT(Tabela1[[#This Row],[DATA]],"MMMM")</f>
        <v>agosto</v>
      </c>
      <c r="E106" s="5" t="str">
        <f>TEXT(Tabela1[[#This Row],[DATA]],"DDDD")</f>
        <v>quarta-feira</v>
      </c>
      <c r="F106" t="s">
        <v>8</v>
      </c>
    </row>
    <row r="107" spans="1:6" x14ac:dyDescent="0.25">
      <c r="A107" t="s">
        <v>11</v>
      </c>
      <c r="B107" s="2">
        <v>45883</v>
      </c>
      <c r="C107" s="3">
        <v>383.98</v>
      </c>
      <c r="D107" s="3" t="str">
        <f>TEXT(Tabela1[[#This Row],[DATA]],"MMMM")</f>
        <v>agosto</v>
      </c>
      <c r="E107" s="5" t="str">
        <f>TEXT(Tabela1[[#This Row],[DATA]],"DDDD")</f>
        <v>quinta-feira</v>
      </c>
      <c r="F107" t="s">
        <v>8</v>
      </c>
    </row>
    <row r="108" spans="1:6" x14ac:dyDescent="0.25">
      <c r="A108" t="s">
        <v>11</v>
      </c>
      <c r="B108" s="2">
        <v>45884</v>
      </c>
      <c r="C108" s="3">
        <v>467.72</v>
      </c>
      <c r="D108" s="3" t="str">
        <f>TEXT(Tabela1[[#This Row],[DATA]],"MMMM")</f>
        <v>agosto</v>
      </c>
      <c r="E108" s="5" t="str">
        <f>TEXT(Tabela1[[#This Row],[DATA]],"DDDD")</f>
        <v>sexta-feira</v>
      </c>
      <c r="F108" t="s">
        <v>8</v>
      </c>
    </row>
    <row r="109" spans="1:6" x14ac:dyDescent="0.25">
      <c r="A109" t="s">
        <v>11</v>
      </c>
      <c r="B109" s="2">
        <v>45885</v>
      </c>
      <c r="C109" s="3">
        <v>752.98</v>
      </c>
      <c r="D109" s="3" t="str">
        <f>TEXT(Tabela1[[#This Row],[DATA]],"MMMM")</f>
        <v>agosto</v>
      </c>
      <c r="E109" s="5" t="str">
        <f>TEXT(Tabela1[[#This Row],[DATA]],"DDDD")</f>
        <v>sábado</v>
      </c>
      <c r="F109" t="s">
        <v>8</v>
      </c>
    </row>
    <row r="110" spans="1:6" x14ac:dyDescent="0.25">
      <c r="A110" t="s">
        <v>11</v>
      </c>
      <c r="B110" s="2">
        <v>45886</v>
      </c>
      <c r="C110" s="3">
        <v>441.99</v>
      </c>
      <c r="D110" s="3" t="str">
        <f>TEXT(Tabela1[[#This Row],[DATA]],"MMMM")</f>
        <v>agosto</v>
      </c>
      <c r="E110" s="5" t="str">
        <f>TEXT(Tabela1[[#This Row],[DATA]],"DDDD")</f>
        <v>domingo</v>
      </c>
      <c r="F110" t="s">
        <v>9</v>
      </c>
    </row>
    <row r="111" spans="1:6" x14ac:dyDescent="0.25">
      <c r="A111" t="s">
        <v>11</v>
      </c>
      <c r="B111" s="2">
        <v>45887</v>
      </c>
      <c r="C111" s="3">
        <v>732.98</v>
      </c>
      <c r="D111" s="3" t="str">
        <f>TEXT(Tabela1[[#This Row],[DATA]],"MMMM")</f>
        <v>agosto</v>
      </c>
      <c r="E111" s="5" t="str">
        <f>TEXT(Tabela1[[#This Row],[DATA]],"DDDD")</f>
        <v>segunda-feira</v>
      </c>
      <c r="F111" t="s">
        <v>9</v>
      </c>
    </row>
    <row r="112" spans="1:6" x14ac:dyDescent="0.25">
      <c r="A112" t="s">
        <v>11</v>
      </c>
      <c r="B112" s="2">
        <v>45888</v>
      </c>
      <c r="C112" s="3">
        <v>298</v>
      </c>
      <c r="D112" s="3" t="str">
        <f>TEXT(Tabela1[[#This Row],[DATA]],"MMMM")</f>
        <v>agosto</v>
      </c>
      <c r="E112" s="5" t="str">
        <f>TEXT(Tabela1[[#This Row],[DATA]],"DDDD")</f>
        <v>terça-feira</v>
      </c>
      <c r="F112" t="s">
        <v>9</v>
      </c>
    </row>
    <row r="113" spans="1:6" x14ac:dyDescent="0.25">
      <c r="A113" t="s">
        <v>11</v>
      </c>
      <c r="B113" s="2">
        <v>45889</v>
      </c>
      <c r="C113" s="21">
        <v>834.67</v>
      </c>
      <c r="D113" s="21" t="str">
        <f>TEXT(Tabela1[[#This Row],[DATA]],"MMMM")</f>
        <v>agosto</v>
      </c>
      <c r="E113" s="5" t="str">
        <f>TEXT(Tabela1[[#This Row],[DATA]],"DDDD")</f>
        <v>quarta-feira</v>
      </c>
      <c r="F113" t="s">
        <v>9</v>
      </c>
    </row>
    <row r="114" spans="1:6" x14ac:dyDescent="0.25">
      <c r="A114" t="s">
        <v>11</v>
      </c>
      <c r="B114" s="2">
        <v>45890</v>
      </c>
      <c r="C114" s="21">
        <v>482.83</v>
      </c>
      <c r="D114" s="21" t="str">
        <f>TEXT(Tabela1[[#This Row],[DATA]],"MMMM")</f>
        <v>agosto</v>
      </c>
      <c r="E114" s="5" t="str">
        <f>TEXT(Tabela1[[#This Row],[DATA]],"DDDD")</f>
        <v>quinta-feira</v>
      </c>
      <c r="F114" t="s">
        <v>9</v>
      </c>
    </row>
    <row r="115" spans="1:6" x14ac:dyDescent="0.25">
      <c r="A115" t="s">
        <v>11</v>
      </c>
      <c r="B115" s="2">
        <v>45891</v>
      </c>
      <c r="C115" s="21">
        <v>902.35</v>
      </c>
      <c r="D115" s="21" t="str">
        <f>TEXT(Tabela1[[#This Row],[DATA]],"MMMM")</f>
        <v>agosto</v>
      </c>
      <c r="E115" s="5" t="str">
        <f>TEXT(Tabela1[[#This Row],[DATA]],"DDDD")</f>
        <v>sexta-feira</v>
      </c>
      <c r="F115" t="s">
        <v>9</v>
      </c>
    </row>
    <row r="116" spans="1:6" x14ac:dyDescent="0.25">
      <c r="A116" t="s">
        <v>11</v>
      </c>
      <c r="B116" s="2">
        <v>45892</v>
      </c>
      <c r="C116" s="21">
        <v>700.85</v>
      </c>
      <c r="D116" s="21" t="str">
        <f>TEXT(Tabela1[[#This Row],[DATA]],"MMMM")</f>
        <v>agosto</v>
      </c>
      <c r="E116" s="5" t="str">
        <f>TEXT(Tabela1[[#This Row],[DATA]],"DDDD")</f>
        <v>sábado</v>
      </c>
      <c r="F116" t="s">
        <v>9</v>
      </c>
    </row>
    <row r="117" spans="1:6" x14ac:dyDescent="0.25">
      <c r="A117" t="s">
        <v>11</v>
      </c>
      <c r="B117" s="2">
        <v>45893</v>
      </c>
      <c r="C117" s="3">
        <v>1034.1600000000001</v>
      </c>
      <c r="D117" s="3" t="str">
        <f>TEXT(Tabela1[[#This Row],[DATA]],"MMMM")</f>
        <v>agosto</v>
      </c>
      <c r="E117" s="5" t="str">
        <f>TEXT(Tabela1[[#This Row],[DATA]],"DDDD")</f>
        <v>domingo</v>
      </c>
      <c r="F117" t="s">
        <v>10</v>
      </c>
    </row>
    <row r="118" spans="1:6" x14ac:dyDescent="0.25">
      <c r="A118" t="s">
        <v>11</v>
      </c>
      <c r="B118" s="2">
        <v>45894</v>
      </c>
      <c r="C118" s="3">
        <v>478.76</v>
      </c>
      <c r="D118" s="3" t="str">
        <f>TEXT(Tabela1[[#This Row],[DATA]],"MMMM")</f>
        <v>agosto</v>
      </c>
      <c r="E118" s="5" t="str">
        <f>TEXT(Tabela1[[#This Row],[DATA]],"DDDD")</f>
        <v>segunda-feira</v>
      </c>
      <c r="F118" t="s">
        <v>10</v>
      </c>
    </row>
    <row r="119" spans="1:6" x14ac:dyDescent="0.25">
      <c r="A119" t="s">
        <v>11</v>
      </c>
      <c r="B119" s="2">
        <v>45895</v>
      </c>
      <c r="C119" s="3">
        <v>628.25000000000011</v>
      </c>
      <c r="D119" s="3" t="str">
        <f>TEXT(Tabela1[[#This Row],[DATA]],"MMMM")</f>
        <v>agosto</v>
      </c>
      <c r="E119" s="5" t="str">
        <f>TEXT(Tabela1[[#This Row],[DATA]],"DDDD")</f>
        <v>terça-feira</v>
      </c>
      <c r="F119" t="s">
        <v>10</v>
      </c>
    </row>
    <row r="120" spans="1:6" x14ac:dyDescent="0.25">
      <c r="A120" t="s">
        <v>11</v>
      </c>
      <c r="B120" s="2">
        <v>45896</v>
      </c>
      <c r="C120" s="3">
        <v>542.84</v>
      </c>
      <c r="D120" s="3" t="str">
        <f>TEXT(Tabela1[[#This Row],[DATA]],"MMMM")</f>
        <v>agosto</v>
      </c>
      <c r="E120" s="5" t="str">
        <f>TEXT(Tabela1[[#This Row],[DATA]],"DDDD")</f>
        <v>quarta-feira</v>
      </c>
      <c r="F120" t="s">
        <v>10</v>
      </c>
    </row>
    <row r="121" spans="1:6" x14ac:dyDescent="0.25">
      <c r="A121" t="s">
        <v>11</v>
      </c>
      <c r="B121" s="2">
        <v>45897</v>
      </c>
      <c r="C121" s="21">
        <v>657</v>
      </c>
      <c r="D121" s="3" t="str">
        <f>TEXT(Tabela1[[#This Row],[DATA]],"MMMM")</f>
        <v>agosto</v>
      </c>
      <c r="E121" s="5" t="str">
        <f>TEXT(Tabela1[[#This Row],[DATA]],"DDDD")</f>
        <v>quinta-feira</v>
      </c>
      <c r="F121" t="s">
        <v>10</v>
      </c>
    </row>
    <row r="122" spans="1:6" x14ac:dyDescent="0.25">
      <c r="A122" t="s">
        <v>11</v>
      </c>
      <c r="B122" s="2">
        <v>45898</v>
      </c>
      <c r="C122" s="21">
        <v>951.71</v>
      </c>
      <c r="D122" s="3" t="str">
        <f>TEXT(Tabela1[[#This Row],[DATA]],"MMMM")</f>
        <v>agosto</v>
      </c>
      <c r="E122" s="5" t="str">
        <f>TEXT(Tabela1[[#This Row],[DATA]],"DDDD")</f>
        <v>sexta-feira</v>
      </c>
      <c r="F122" t="s">
        <v>10</v>
      </c>
    </row>
    <row r="123" spans="1:6" x14ac:dyDescent="0.25">
      <c r="A123" t="s">
        <v>11</v>
      </c>
      <c r="B123" s="2">
        <v>45899</v>
      </c>
      <c r="C123" s="21">
        <v>984.12</v>
      </c>
      <c r="D123" s="3" t="str">
        <f>TEXT(Tabela1[[#This Row],[DATA]],"MMMM")</f>
        <v>agosto</v>
      </c>
      <c r="E123" s="5" t="str">
        <f>TEXT(Tabela1[[#This Row],[DATA]],"DDDD")</f>
        <v>sábado</v>
      </c>
      <c r="F123" t="s">
        <v>10</v>
      </c>
    </row>
    <row r="124" spans="1:6" x14ac:dyDescent="0.25">
      <c r="A124" t="s">
        <v>11</v>
      </c>
      <c r="B124" s="2">
        <v>45900</v>
      </c>
      <c r="C124" s="21">
        <v>850.98</v>
      </c>
      <c r="D124" s="3" t="str">
        <f>TEXT(Tabela1[[#This Row],[DATA]],"MMMM")</f>
        <v>agosto</v>
      </c>
      <c r="E124" s="5" t="str">
        <f>TEXT(Tabela1[[#This Row],[DATA]],"DDDD")</f>
        <v>domingo</v>
      </c>
      <c r="F124" t="s">
        <v>10</v>
      </c>
    </row>
    <row r="125" spans="1:6" x14ac:dyDescent="0.25">
      <c r="A125" t="s">
        <v>13</v>
      </c>
      <c r="B125" s="2">
        <v>45839</v>
      </c>
      <c r="C125" s="1">
        <v>971.9</v>
      </c>
      <c r="D125" s="1" t="str">
        <f>TEXT(Tabela1[[#This Row],[DATA]],"MMMM")</f>
        <v>julho</v>
      </c>
      <c r="E125" s="5" t="str">
        <f>TEXT(Tabela1[[#This Row],[DATA]],"DDDD")</f>
        <v>terça-feira</v>
      </c>
      <c r="F125" t="str">
        <f t="shared" ref="F125:F154" si="2">_xlfn.CONCAT("SEMANA"," ",WEEKNUM(B125)-WEEKNUM(EOMONTH(B125,-1)+1)+1)</f>
        <v>SEMANA 1</v>
      </c>
    </row>
    <row r="126" spans="1:6" x14ac:dyDescent="0.25">
      <c r="A126" t="s">
        <v>13</v>
      </c>
      <c r="B126" s="2">
        <v>45840</v>
      </c>
      <c r="C126" s="1">
        <v>1522</v>
      </c>
      <c r="D126" s="1" t="str">
        <f>TEXT(Tabela1[[#This Row],[DATA]],"MMMM")</f>
        <v>julho</v>
      </c>
      <c r="E126" s="5" t="str">
        <f>TEXT(Tabela1[[#This Row],[DATA]],"DDDD")</f>
        <v>quarta-feira</v>
      </c>
      <c r="F126" t="str">
        <f t="shared" si="2"/>
        <v>SEMANA 1</v>
      </c>
    </row>
    <row r="127" spans="1:6" x14ac:dyDescent="0.25">
      <c r="A127" t="s">
        <v>13</v>
      </c>
      <c r="B127" s="2">
        <v>45841</v>
      </c>
      <c r="C127" s="1">
        <v>1176.05</v>
      </c>
      <c r="D127" s="1" t="str">
        <f>TEXT(Tabela1[[#This Row],[DATA]],"MMMM")</f>
        <v>julho</v>
      </c>
      <c r="E127" s="5" t="str">
        <f>TEXT(Tabela1[[#This Row],[DATA]],"DDDD")</f>
        <v>quinta-feira</v>
      </c>
      <c r="F127" t="str">
        <f t="shared" si="2"/>
        <v>SEMANA 1</v>
      </c>
    </row>
    <row r="128" spans="1:6" x14ac:dyDescent="0.25">
      <c r="A128" t="s">
        <v>13</v>
      </c>
      <c r="B128" s="2">
        <v>45842</v>
      </c>
      <c r="C128" s="1">
        <v>1428</v>
      </c>
      <c r="D128" s="1" t="str">
        <f>TEXT(Tabela1[[#This Row],[DATA]],"MMMM")</f>
        <v>julho</v>
      </c>
      <c r="E128" s="5" t="str">
        <f>TEXT(Tabela1[[#This Row],[DATA]],"DDDD")</f>
        <v>sexta-feira</v>
      </c>
      <c r="F128" t="str">
        <f t="shared" si="2"/>
        <v>SEMANA 1</v>
      </c>
    </row>
    <row r="129" spans="1:6" x14ac:dyDescent="0.25">
      <c r="A129" t="s">
        <v>13</v>
      </c>
      <c r="B129" s="2">
        <v>45843</v>
      </c>
      <c r="C129" s="1">
        <v>2279.3000000000002</v>
      </c>
      <c r="D129" s="1" t="str">
        <f>TEXT(Tabela1[[#This Row],[DATA]],"MMMM")</f>
        <v>julho</v>
      </c>
      <c r="E129" s="5" t="str">
        <f>TEXT(Tabela1[[#This Row],[DATA]],"DDDD")</f>
        <v>sábado</v>
      </c>
      <c r="F129" t="str">
        <f t="shared" si="2"/>
        <v>SEMANA 1</v>
      </c>
    </row>
    <row r="130" spans="1:6" x14ac:dyDescent="0.25">
      <c r="A130" t="s">
        <v>13</v>
      </c>
      <c r="B130" s="2">
        <v>45844</v>
      </c>
      <c r="C130" s="1">
        <v>1369</v>
      </c>
      <c r="D130" s="1" t="str">
        <f>TEXT(Tabela1[[#This Row],[DATA]],"MMMM")</f>
        <v>julho</v>
      </c>
      <c r="E130" s="5" t="str">
        <f>TEXT(Tabela1[[#This Row],[DATA]],"DDDD")</f>
        <v>domingo</v>
      </c>
      <c r="F130" t="str">
        <f t="shared" si="2"/>
        <v>SEMANA 2</v>
      </c>
    </row>
    <row r="131" spans="1:6" x14ac:dyDescent="0.25">
      <c r="A131" t="s">
        <v>13</v>
      </c>
      <c r="B131" s="2">
        <v>45845</v>
      </c>
      <c r="C131" s="1">
        <v>1218</v>
      </c>
      <c r="D131" s="1" t="str">
        <f>TEXT(Tabela1[[#This Row],[DATA]],"MMMM")</f>
        <v>julho</v>
      </c>
      <c r="E131" s="5" t="str">
        <f>TEXT(Tabela1[[#This Row],[DATA]],"DDDD")</f>
        <v>segunda-feira</v>
      </c>
      <c r="F131" t="str">
        <f t="shared" si="2"/>
        <v>SEMANA 2</v>
      </c>
    </row>
    <row r="132" spans="1:6" x14ac:dyDescent="0.25">
      <c r="A132" t="s">
        <v>13</v>
      </c>
      <c r="B132" s="2">
        <v>45846</v>
      </c>
      <c r="C132" s="1">
        <v>1392</v>
      </c>
      <c r="D132" s="1" t="str">
        <f>TEXT(Tabela1[[#This Row],[DATA]],"MMMM")</f>
        <v>julho</v>
      </c>
      <c r="E132" s="5" t="str">
        <f>TEXT(Tabela1[[#This Row],[DATA]],"DDDD")</f>
        <v>terça-feira</v>
      </c>
      <c r="F132" t="str">
        <f t="shared" si="2"/>
        <v>SEMANA 2</v>
      </c>
    </row>
    <row r="133" spans="1:6" x14ac:dyDescent="0.25">
      <c r="A133" t="s">
        <v>13</v>
      </c>
      <c r="B133" s="2">
        <v>45847</v>
      </c>
      <c r="C133" s="1">
        <v>1029</v>
      </c>
      <c r="D133" s="1" t="str">
        <f>TEXT(Tabela1[[#This Row],[DATA]],"MMMM")</f>
        <v>julho</v>
      </c>
      <c r="E133" s="5" t="str">
        <f>TEXT(Tabela1[[#This Row],[DATA]],"DDDD")</f>
        <v>quarta-feira</v>
      </c>
      <c r="F133" t="str">
        <f t="shared" si="2"/>
        <v>SEMANA 2</v>
      </c>
    </row>
    <row r="134" spans="1:6" x14ac:dyDescent="0.25">
      <c r="A134" t="s">
        <v>13</v>
      </c>
      <c r="B134" s="2">
        <v>45848</v>
      </c>
      <c r="C134" s="1">
        <v>1424.5</v>
      </c>
      <c r="D134" s="1" t="str">
        <f>TEXT(Tabela1[[#This Row],[DATA]],"MMMM")</f>
        <v>julho</v>
      </c>
      <c r="E134" s="5" t="str">
        <f>TEXT(Tabela1[[#This Row],[DATA]],"DDDD")</f>
        <v>quinta-feira</v>
      </c>
      <c r="F134" t="str">
        <f t="shared" si="2"/>
        <v>SEMANA 2</v>
      </c>
    </row>
    <row r="135" spans="1:6" x14ac:dyDescent="0.25">
      <c r="A135" t="s">
        <v>13</v>
      </c>
      <c r="B135" s="2">
        <v>45849</v>
      </c>
      <c r="C135" s="1">
        <v>1396</v>
      </c>
      <c r="D135" s="1" t="str">
        <f>TEXT(Tabela1[[#This Row],[DATA]],"MMMM")</f>
        <v>julho</v>
      </c>
      <c r="E135" s="5" t="str">
        <f>TEXT(Tabela1[[#This Row],[DATA]],"DDDD")</f>
        <v>sexta-feira</v>
      </c>
      <c r="F135" t="str">
        <f t="shared" si="2"/>
        <v>SEMANA 2</v>
      </c>
    </row>
    <row r="136" spans="1:6" x14ac:dyDescent="0.25">
      <c r="A136" t="s">
        <v>13</v>
      </c>
      <c r="B136" s="2">
        <v>45850</v>
      </c>
      <c r="C136" s="1">
        <v>2608</v>
      </c>
      <c r="D136" s="1" t="str">
        <f>TEXT(Tabela1[[#This Row],[DATA]],"MMMM")</f>
        <v>julho</v>
      </c>
      <c r="E136" s="5" t="str">
        <f>TEXT(Tabela1[[#This Row],[DATA]],"DDDD")</f>
        <v>sábado</v>
      </c>
      <c r="F136" t="str">
        <f t="shared" si="2"/>
        <v>SEMANA 2</v>
      </c>
    </row>
    <row r="137" spans="1:6" x14ac:dyDescent="0.25">
      <c r="A137" t="s">
        <v>13</v>
      </c>
      <c r="B137" s="2">
        <v>45851</v>
      </c>
      <c r="C137" s="1">
        <v>1459</v>
      </c>
      <c r="D137" s="1" t="str">
        <f>TEXT(Tabela1[[#This Row],[DATA]],"MMMM")</f>
        <v>julho</v>
      </c>
      <c r="E137" s="5" t="str">
        <f>TEXT(Tabela1[[#This Row],[DATA]],"DDDD")</f>
        <v>domingo</v>
      </c>
      <c r="F137" t="str">
        <f t="shared" si="2"/>
        <v>SEMANA 3</v>
      </c>
    </row>
    <row r="138" spans="1:6" x14ac:dyDescent="0.25">
      <c r="A138" t="s">
        <v>13</v>
      </c>
      <c r="B138" s="2">
        <v>45852</v>
      </c>
      <c r="C138" s="1">
        <v>1584</v>
      </c>
      <c r="D138" s="1" t="str">
        <f>TEXT(Tabela1[[#This Row],[DATA]],"MMMM")</f>
        <v>julho</v>
      </c>
      <c r="E138" s="5" t="str">
        <f>TEXT(Tabela1[[#This Row],[DATA]],"DDDD")</f>
        <v>segunda-feira</v>
      </c>
      <c r="F138" t="str">
        <f t="shared" si="2"/>
        <v>SEMANA 3</v>
      </c>
    </row>
    <row r="139" spans="1:6" x14ac:dyDescent="0.25">
      <c r="A139" t="s">
        <v>13</v>
      </c>
      <c r="B139" s="2">
        <v>45853</v>
      </c>
      <c r="C139" s="1">
        <v>1596.5</v>
      </c>
      <c r="D139" s="1" t="str">
        <f>TEXT(Tabela1[[#This Row],[DATA]],"MMMM")</f>
        <v>julho</v>
      </c>
      <c r="E139" s="5" t="str">
        <f>TEXT(Tabela1[[#This Row],[DATA]],"DDDD")</f>
        <v>terça-feira</v>
      </c>
      <c r="F139" t="str">
        <f t="shared" si="2"/>
        <v>SEMANA 3</v>
      </c>
    </row>
    <row r="140" spans="1:6" x14ac:dyDescent="0.25">
      <c r="A140" t="s">
        <v>13</v>
      </c>
      <c r="B140" s="2">
        <v>45854</v>
      </c>
      <c r="C140" s="1">
        <v>1605</v>
      </c>
      <c r="D140" s="1" t="str">
        <f>TEXT(Tabela1[[#This Row],[DATA]],"MMMM")</f>
        <v>julho</v>
      </c>
      <c r="E140" s="5" t="str">
        <f>TEXT(Tabela1[[#This Row],[DATA]],"DDDD")</f>
        <v>quarta-feira</v>
      </c>
      <c r="F140" t="str">
        <f t="shared" si="2"/>
        <v>SEMANA 3</v>
      </c>
    </row>
    <row r="141" spans="1:6" x14ac:dyDescent="0.25">
      <c r="A141" t="s">
        <v>13</v>
      </c>
      <c r="B141" s="2">
        <v>45855</v>
      </c>
      <c r="C141" s="1">
        <v>1786</v>
      </c>
      <c r="D141" s="1" t="str">
        <f>TEXT(Tabela1[[#This Row],[DATA]],"MMMM")</f>
        <v>julho</v>
      </c>
      <c r="E141" s="5" t="str">
        <f>TEXT(Tabela1[[#This Row],[DATA]],"DDDD")</f>
        <v>quinta-feira</v>
      </c>
      <c r="F141" t="str">
        <f t="shared" si="2"/>
        <v>SEMANA 3</v>
      </c>
    </row>
    <row r="142" spans="1:6" x14ac:dyDescent="0.25">
      <c r="A142" t="s">
        <v>13</v>
      </c>
      <c r="B142" s="2">
        <v>45856</v>
      </c>
      <c r="C142" s="1">
        <v>1575.75</v>
      </c>
      <c r="D142" s="1" t="str">
        <f>TEXT(Tabela1[[#This Row],[DATA]],"MMMM")</f>
        <v>julho</v>
      </c>
      <c r="E142" s="5" t="str">
        <f>TEXT(Tabela1[[#This Row],[DATA]],"DDDD")</f>
        <v>sexta-feira</v>
      </c>
      <c r="F142" t="str">
        <f t="shared" si="2"/>
        <v>SEMANA 3</v>
      </c>
    </row>
    <row r="143" spans="1:6" x14ac:dyDescent="0.25">
      <c r="A143" t="s">
        <v>13</v>
      </c>
      <c r="B143" s="2">
        <v>45857</v>
      </c>
      <c r="C143" s="1">
        <v>1709.5</v>
      </c>
      <c r="D143" s="1" t="str">
        <f>TEXT(Tabela1[[#This Row],[DATA]],"MMMM")</f>
        <v>julho</v>
      </c>
      <c r="E143" s="5" t="str">
        <f>TEXT(Tabela1[[#This Row],[DATA]],"DDDD")</f>
        <v>sábado</v>
      </c>
      <c r="F143" t="str">
        <f t="shared" si="2"/>
        <v>SEMANA 3</v>
      </c>
    </row>
    <row r="144" spans="1:6" x14ac:dyDescent="0.25">
      <c r="A144" t="s">
        <v>13</v>
      </c>
      <c r="B144" s="2">
        <v>45858</v>
      </c>
      <c r="C144" s="1">
        <v>1737</v>
      </c>
      <c r="D144" s="1" t="str">
        <f>TEXT(Tabela1[[#This Row],[DATA]],"MMMM")</f>
        <v>julho</v>
      </c>
      <c r="E144" s="5" t="str">
        <f>TEXT(Tabela1[[#This Row],[DATA]],"DDDD")</f>
        <v>domingo</v>
      </c>
      <c r="F144" t="str">
        <f t="shared" si="2"/>
        <v>SEMANA 4</v>
      </c>
    </row>
    <row r="145" spans="1:6" x14ac:dyDescent="0.25">
      <c r="A145" t="s">
        <v>13</v>
      </c>
      <c r="B145" s="2">
        <v>45859</v>
      </c>
      <c r="C145" s="1">
        <v>1132.2</v>
      </c>
      <c r="D145" s="1" t="str">
        <f>TEXT(Tabela1[[#This Row],[DATA]],"MMMM")</f>
        <v>julho</v>
      </c>
      <c r="E145" s="5" t="str">
        <f>TEXT(Tabela1[[#This Row],[DATA]],"DDDD")</f>
        <v>segunda-feira</v>
      </c>
      <c r="F145" t="str">
        <f t="shared" si="2"/>
        <v>SEMANA 4</v>
      </c>
    </row>
    <row r="146" spans="1:6" x14ac:dyDescent="0.25">
      <c r="A146" t="s">
        <v>13</v>
      </c>
      <c r="B146" s="2">
        <v>45860</v>
      </c>
      <c r="C146" s="3">
        <v>1236</v>
      </c>
      <c r="D146" s="3" t="str">
        <f>TEXT(Tabela1[[#This Row],[DATA]],"MMMM")</f>
        <v>julho</v>
      </c>
      <c r="E146" s="5" t="str">
        <f>TEXT(Tabela1[[#This Row],[DATA]],"DDDD")</f>
        <v>terça-feira</v>
      </c>
      <c r="F146" t="str">
        <f t="shared" si="2"/>
        <v>SEMANA 4</v>
      </c>
    </row>
    <row r="147" spans="1:6" x14ac:dyDescent="0.25">
      <c r="A147" t="s">
        <v>13</v>
      </c>
      <c r="B147" s="2">
        <v>45861</v>
      </c>
      <c r="C147" s="3">
        <v>1023</v>
      </c>
      <c r="D147" s="3" t="str">
        <f>TEXT(Tabela1[[#This Row],[DATA]],"MMMM")</f>
        <v>julho</v>
      </c>
      <c r="E147" s="5" t="str">
        <f>TEXT(Tabela1[[#This Row],[DATA]],"DDDD")</f>
        <v>quarta-feira</v>
      </c>
      <c r="F147" t="str">
        <f t="shared" si="2"/>
        <v>SEMANA 4</v>
      </c>
    </row>
    <row r="148" spans="1:6" x14ac:dyDescent="0.25">
      <c r="A148" t="s">
        <v>13</v>
      </c>
      <c r="B148" s="2">
        <v>45862</v>
      </c>
      <c r="C148" s="3">
        <v>1692.55</v>
      </c>
      <c r="D148" s="3" t="str">
        <f>TEXT(Tabela1[[#This Row],[DATA]],"MMMM")</f>
        <v>julho</v>
      </c>
      <c r="E148" s="5" t="str">
        <f>TEXT(Tabela1[[#This Row],[DATA]],"DDDD")</f>
        <v>quinta-feira</v>
      </c>
      <c r="F148" t="str">
        <f t="shared" si="2"/>
        <v>SEMANA 4</v>
      </c>
    </row>
    <row r="149" spans="1:6" x14ac:dyDescent="0.25">
      <c r="A149" t="s">
        <v>13</v>
      </c>
      <c r="B149" s="2">
        <v>45863</v>
      </c>
      <c r="C149" s="3">
        <v>1564.49</v>
      </c>
      <c r="D149" s="3" t="str">
        <f>TEXT(Tabela1[[#This Row],[DATA]],"MMMM")</f>
        <v>julho</v>
      </c>
      <c r="E149" s="5" t="str">
        <f>TEXT(Tabela1[[#This Row],[DATA]],"DDDD")</f>
        <v>sexta-feira</v>
      </c>
      <c r="F149" t="str">
        <f t="shared" si="2"/>
        <v>SEMANA 4</v>
      </c>
    </row>
    <row r="150" spans="1:6" x14ac:dyDescent="0.25">
      <c r="A150" t="s">
        <v>13</v>
      </c>
      <c r="B150" s="2">
        <v>45864</v>
      </c>
      <c r="C150" s="3">
        <v>1531.5</v>
      </c>
      <c r="D150" s="3" t="str">
        <f>TEXT(Tabela1[[#This Row],[DATA]],"MMMM")</f>
        <v>julho</v>
      </c>
      <c r="E150" s="5" t="str">
        <f>TEXT(Tabela1[[#This Row],[DATA]],"DDDD")</f>
        <v>sábado</v>
      </c>
      <c r="F150" t="str">
        <f t="shared" si="2"/>
        <v>SEMANA 4</v>
      </c>
    </row>
    <row r="151" spans="1:6" x14ac:dyDescent="0.25">
      <c r="A151" t="s">
        <v>13</v>
      </c>
      <c r="B151" s="2">
        <v>45865</v>
      </c>
      <c r="C151" s="3">
        <v>1639.7</v>
      </c>
      <c r="D151" s="3" t="str">
        <f>TEXT(Tabela1[[#This Row],[DATA]],"MMMM")</f>
        <v>julho</v>
      </c>
      <c r="E151" s="5" t="str">
        <f>TEXT(Tabela1[[#This Row],[DATA]],"DDDD")</f>
        <v>domingo</v>
      </c>
      <c r="F151" t="str">
        <f t="shared" si="2"/>
        <v>SEMANA 5</v>
      </c>
    </row>
    <row r="152" spans="1:6" x14ac:dyDescent="0.25">
      <c r="A152" t="s">
        <v>13</v>
      </c>
      <c r="B152" s="2">
        <v>45866</v>
      </c>
      <c r="C152" s="3">
        <v>1018</v>
      </c>
      <c r="D152" s="3" t="str">
        <f>TEXT(Tabela1[[#This Row],[DATA]],"MMMM")</f>
        <v>julho</v>
      </c>
      <c r="E152" s="5" t="str">
        <f>TEXT(Tabela1[[#This Row],[DATA]],"DDDD")</f>
        <v>segunda-feira</v>
      </c>
      <c r="F152" t="str">
        <f t="shared" si="2"/>
        <v>SEMANA 5</v>
      </c>
    </row>
    <row r="153" spans="1:6" x14ac:dyDescent="0.25">
      <c r="A153" t="s">
        <v>13</v>
      </c>
      <c r="B153" s="2">
        <v>45867</v>
      </c>
      <c r="C153" s="3">
        <v>1296</v>
      </c>
      <c r="D153" s="3" t="str">
        <f>TEXT(Tabela1[[#This Row],[DATA]],"MMMM")</f>
        <v>julho</v>
      </c>
      <c r="E153" s="5" t="str">
        <f>TEXT(Tabela1[[#This Row],[DATA]],"DDDD")</f>
        <v>terça-feira</v>
      </c>
      <c r="F153" t="str">
        <f t="shared" si="2"/>
        <v>SEMANA 5</v>
      </c>
    </row>
    <row r="154" spans="1:6" x14ac:dyDescent="0.25">
      <c r="A154" t="s">
        <v>13</v>
      </c>
      <c r="B154" s="2">
        <v>45868</v>
      </c>
      <c r="C154" s="3">
        <v>1595</v>
      </c>
      <c r="D154" s="3" t="str">
        <f>TEXT(Tabela1[[#This Row],[DATA]],"MMMM")</f>
        <v>julho</v>
      </c>
      <c r="E154" s="5" t="str">
        <f>TEXT(Tabela1[[#This Row],[DATA]],"DDDD")</f>
        <v>quarta-feira</v>
      </c>
      <c r="F154" t="str">
        <f t="shared" si="2"/>
        <v>SEMANA 5</v>
      </c>
    </row>
    <row r="155" spans="1:6" x14ac:dyDescent="0.25">
      <c r="A155" t="s">
        <v>13</v>
      </c>
      <c r="B155" s="2">
        <v>45870</v>
      </c>
      <c r="C155" s="3">
        <v>1220.95</v>
      </c>
      <c r="D155" s="3" t="str">
        <f>TEXT(Tabela1[[#This Row],[DATA]],"MMMM")</f>
        <v>agosto</v>
      </c>
      <c r="E155" s="5" t="str">
        <f>TEXT(Tabela1[[#This Row],[DATA]],"DDDD")</f>
        <v>sexta-feira</v>
      </c>
      <c r="F155" t="s">
        <v>7</v>
      </c>
    </row>
    <row r="156" spans="1:6" x14ac:dyDescent="0.25">
      <c r="A156" t="s">
        <v>13</v>
      </c>
      <c r="B156" s="2">
        <v>45871</v>
      </c>
      <c r="C156" s="3">
        <v>1628.5</v>
      </c>
      <c r="D156" s="3" t="str">
        <f>TEXT(Tabela1[[#This Row],[DATA]],"MMMM")</f>
        <v>agosto</v>
      </c>
      <c r="E156" s="5" t="str">
        <f>TEXT(Tabela1[[#This Row],[DATA]],"DDDD")</f>
        <v>sábado</v>
      </c>
      <c r="F156" t="s">
        <v>7</v>
      </c>
    </row>
    <row r="157" spans="1:6" x14ac:dyDescent="0.25">
      <c r="A157" t="s">
        <v>13</v>
      </c>
      <c r="B157" s="2">
        <v>45872</v>
      </c>
      <c r="C157" s="3">
        <v>1973</v>
      </c>
      <c r="D157" s="3" t="str">
        <f>TEXT(Tabela1[[#This Row],[DATA]],"MMMM")</f>
        <v>agosto</v>
      </c>
      <c r="E157" s="5" t="str">
        <f>TEXT(Tabela1[[#This Row],[DATA]],"DDDD")</f>
        <v>domingo</v>
      </c>
      <c r="F157" t="s">
        <v>7</v>
      </c>
    </row>
    <row r="158" spans="1:6" x14ac:dyDescent="0.25">
      <c r="A158" t="s">
        <v>13</v>
      </c>
      <c r="B158" s="2">
        <v>45873</v>
      </c>
      <c r="C158" s="3">
        <v>1333.5</v>
      </c>
      <c r="D158" s="3" t="str">
        <f>TEXT(Tabela1[[#This Row],[DATA]],"MMMM")</f>
        <v>agosto</v>
      </c>
      <c r="E158" s="5" t="str">
        <f>TEXT(Tabela1[[#This Row],[DATA]],"DDDD")</f>
        <v>segunda-feira</v>
      </c>
      <c r="F158" t="s">
        <v>7</v>
      </c>
    </row>
    <row r="159" spans="1:6" x14ac:dyDescent="0.25">
      <c r="A159" t="s">
        <v>13</v>
      </c>
      <c r="B159" s="2">
        <v>45874</v>
      </c>
      <c r="C159" s="3">
        <v>1706.25</v>
      </c>
      <c r="D159" s="3" t="str">
        <f>TEXT(Tabela1[[#This Row],[DATA]],"MMMM")</f>
        <v>agosto</v>
      </c>
      <c r="E159" s="5" t="str">
        <f>TEXT(Tabela1[[#This Row],[DATA]],"DDDD")</f>
        <v>terça-feira</v>
      </c>
      <c r="F159" t="s">
        <v>7</v>
      </c>
    </row>
    <row r="160" spans="1:6" x14ac:dyDescent="0.25">
      <c r="A160" t="s">
        <v>13</v>
      </c>
      <c r="B160" s="2">
        <v>45875</v>
      </c>
      <c r="C160" s="3">
        <v>878</v>
      </c>
      <c r="D160" s="3" t="str">
        <f>TEXT(Tabela1[[#This Row],[DATA]],"MMMM")</f>
        <v>agosto</v>
      </c>
      <c r="E160" s="5" t="str">
        <f>TEXT(Tabela1[[#This Row],[DATA]],"DDDD")</f>
        <v>quarta-feira</v>
      </c>
      <c r="F160" t="s">
        <v>7</v>
      </c>
    </row>
    <row r="161" spans="1:6" x14ac:dyDescent="0.25">
      <c r="A161" t="s">
        <v>13</v>
      </c>
      <c r="B161" s="2">
        <v>45876</v>
      </c>
      <c r="C161" s="3">
        <v>1348</v>
      </c>
      <c r="D161" s="3" t="str">
        <f>TEXT(Tabela1[[#This Row],[DATA]],"MMMM")</f>
        <v>agosto</v>
      </c>
      <c r="E161" s="5" t="str">
        <f>TEXT(Tabela1[[#This Row],[DATA]],"DDDD")</f>
        <v>quinta-feira</v>
      </c>
      <c r="F161" t="s">
        <v>7</v>
      </c>
    </row>
    <row r="162" spans="1:6" x14ac:dyDescent="0.25">
      <c r="A162" t="s">
        <v>13</v>
      </c>
      <c r="B162" s="2">
        <v>45877</v>
      </c>
      <c r="C162" s="3">
        <v>1115.99</v>
      </c>
      <c r="D162" s="3" t="str">
        <f>TEXT(Tabela1[[#This Row],[DATA]],"MMMM")</f>
        <v>agosto</v>
      </c>
      <c r="E162" s="5" t="str">
        <f>TEXT(Tabela1[[#This Row],[DATA]],"DDDD")</f>
        <v>sexta-feira</v>
      </c>
      <c r="F162" t="s">
        <v>7</v>
      </c>
    </row>
    <row r="163" spans="1:6" x14ac:dyDescent="0.25">
      <c r="A163" t="s">
        <v>13</v>
      </c>
      <c r="B163" s="2">
        <v>45878</v>
      </c>
      <c r="C163" s="3">
        <v>1982</v>
      </c>
      <c r="D163" s="3" t="str">
        <f>TEXT(Tabela1[[#This Row],[DATA]],"MMMM")</f>
        <v>agosto</v>
      </c>
      <c r="E163" s="5" t="str">
        <f>TEXT(Tabela1[[#This Row],[DATA]],"DDDD")</f>
        <v>sábado</v>
      </c>
      <c r="F163" t="s">
        <v>7</v>
      </c>
    </row>
    <row r="164" spans="1:6" x14ac:dyDescent="0.25">
      <c r="A164" t="s">
        <v>13</v>
      </c>
      <c r="B164" s="2">
        <v>45879</v>
      </c>
      <c r="C164" s="3">
        <v>1710.98</v>
      </c>
      <c r="D164" s="3" t="str">
        <f>TEXT(Tabela1[[#This Row],[DATA]],"MMMM")</f>
        <v>agosto</v>
      </c>
      <c r="E164" s="5" t="str">
        <f>TEXT(Tabela1[[#This Row],[DATA]],"DDDD")</f>
        <v>domingo</v>
      </c>
      <c r="F164" t="s">
        <v>8</v>
      </c>
    </row>
    <row r="165" spans="1:6" x14ac:dyDescent="0.25">
      <c r="A165" t="s">
        <v>13</v>
      </c>
      <c r="B165" s="2">
        <v>45880</v>
      </c>
      <c r="C165" s="3">
        <v>793.23000000000013</v>
      </c>
      <c r="D165" s="3" t="str">
        <f>TEXT(Tabela1[[#This Row],[DATA]],"MMMM")</f>
        <v>agosto</v>
      </c>
      <c r="E165" s="5" t="str">
        <f>TEXT(Tabela1[[#This Row],[DATA]],"DDDD")</f>
        <v>segunda-feira</v>
      </c>
      <c r="F165" t="s">
        <v>8</v>
      </c>
    </row>
    <row r="166" spans="1:6" x14ac:dyDescent="0.25">
      <c r="A166" t="s">
        <v>13</v>
      </c>
      <c r="B166" s="2">
        <v>45881</v>
      </c>
      <c r="C166" s="3">
        <v>661.95</v>
      </c>
      <c r="D166" s="3" t="str">
        <f>TEXT(Tabela1[[#This Row],[DATA]],"MMMM")</f>
        <v>agosto</v>
      </c>
      <c r="E166" s="5" t="str">
        <f>TEXT(Tabela1[[#This Row],[DATA]],"DDDD")</f>
        <v>terça-feira</v>
      </c>
      <c r="F166" t="s">
        <v>8</v>
      </c>
    </row>
    <row r="167" spans="1:6" x14ac:dyDescent="0.25">
      <c r="A167" t="s">
        <v>13</v>
      </c>
      <c r="B167" s="2">
        <v>45882</v>
      </c>
      <c r="C167" s="3">
        <v>650</v>
      </c>
      <c r="D167" s="3" t="str">
        <f>TEXT(Tabela1[[#This Row],[DATA]],"MMMM")</f>
        <v>agosto</v>
      </c>
      <c r="E167" s="5" t="str">
        <f>TEXT(Tabela1[[#This Row],[DATA]],"DDDD")</f>
        <v>quarta-feira</v>
      </c>
      <c r="F167" t="s">
        <v>8</v>
      </c>
    </row>
    <row r="168" spans="1:6" x14ac:dyDescent="0.25">
      <c r="A168" t="s">
        <v>13</v>
      </c>
      <c r="B168" s="2">
        <v>45883</v>
      </c>
      <c r="C168" s="3">
        <v>1435.9500000000003</v>
      </c>
      <c r="D168" s="3" t="str">
        <f>TEXT(Tabela1[[#This Row],[DATA]],"MMMM")</f>
        <v>agosto</v>
      </c>
      <c r="E168" s="5" t="str">
        <f>TEXT(Tabela1[[#This Row],[DATA]],"DDDD")</f>
        <v>quinta-feira</v>
      </c>
      <c r="F168" t="s">
        <v>8</v>
      </c>
    </row>
    <row r="169" spans="1:6" x14ac:dyDescent="0.25">
      <c r="A169" t="s">
        <v>13</v>
      </c>
      <c r="B169" s="2">
        <v>45884</v>
      </c>
      <c r="C169" s="3">
        <v>1860</v>
      </c>
      <c r="D169" s="3" t="str">
        <f>TEXT(Tabela1[[#This Row],[DATA]],"MMMM")</f>
        <v>agosto</v>
      </c>
      <c r="E169" s="5" t="str">
        <f>TEXT(Tabela1[[#This Row],[DATA]],"DDDD")</f>
        <v>sexta-feira</v>
      </c>
      <c r="F169" t="s">
        <v>8</v>
      </c>
    </row>
    <row r="170" spans="1:6" x14ac:dyDescent="0.25">
      <c r="A170" t="s">
        <v>13</v>
      </c>
      <c r="B170" s="2">
        <v>45885</v>
      </c>
      <c r="C170" s="3">
        <v>1382</v>
      </c>
      <c r="D170" s="3" t="str">
        <f>TEXT(Tabela1[[#This Row],[DATA]],"MMMM")</f>
        <v>agosto</v>
      </c>
      <c r="E170" s="5" t="str">
        <f>TEXT(Tabela1[[#This Row],[DATA]],"DDDD")</f>
        <v>sábado</v>
      </c>
      <c r="F170" t="s">
        <v>8</v>
      </c>
    </row>
    <row r="171" spans="1:6" x14ac:dyDescent="0.25">
      <c r="A171" t="s">
        <v>13</v>
      </c>
      <c r="B171" s="2">
        <v>45886</v>
      </c>
      <c r="C171" s="3">
        <v>2507</v>
      </c>
      <c r="D171" s="3" t="str">
        <f>TEXT(Tabela1[[#This Row],[DATA]],"MMMM")</f>
        <v>agosto</v>
      </c>
      <c r="E171" s="5" t="str">
        <f>TEXT(Tabela1[[#This Row],[DATA]],"DDDD")</f>
        <v>domingo</v>
      </c>
      <c r="F171" t="s">
        <v>9</v>
      </c>
    </row>
    <row r="172" spans="1:6" x14ac:dyDescent="0.25">
      <c r="A172" t="s">
        <v>13</v>
      </c>
      <c r="B172" s="2">
        <v>45887</v>
      </c>
      <c r="C172" s="3">
        <v>1168</v>
      </c>
      <c r="D172" s="3" t="str">
        <f>TEXT(Tabela1[[#This Row],[DATA]],"MMMM")</f>
        <v>agosto</v>
      </c>
      <c r="E172" s="5" t="str">
        <f>TEXT(Tabela1[[#This Row],[DATA]],"DDDD")</f>
        <v>segunda-feira</v>
      </c>
      <c r="F172" t="s">
        <v>9</v>
      </c>
    </row>
    <row r="173" spans="1:6" x14ac:dyDescent="0.25">
      <c r="A173" t="s">
        <v>13</v>
      </c>
      <c r="B173" s="2">
        <v>45888</v>
      </c>
      <c r="C173" s="3">
        <v>1029</v>
      </c>
      <c r="D173" s="3" t="str">
        <f>TEXT(Tabela1[[#This Row],[DATA]],"MMMM")</f>
        <v>agosto</v>
      </c>
      <c r="E173" s="5" t="str">
        <f>TEXT(Tabela1[[#This Row],[DATA]],"DDDD")</f>
        <v>terça-feira</v>
      </c>
      <c r="F173" t="s">
        <v>9</v>
      </c>
    </row>
    <row r="174" spans="1:6" x14ac:dyDescent="0.25">
      <c r="A174" t="s">
        <v>13</v>
      </c>
      <c r="B174" s="2">
        <v>45889</v>
      </c>
      <c r="C174" s="21">
        <v>1147.99</v>
      </c>
      <c r="D174" s="21" t="str">
        <f>TEXT(Tabela1[[#This Row],[DATA]],"MMMM")</f>
        <v>agosto</v>
      </c>
      <c r="E174" s="5" t="str">
        <f>TEXT(Tabela1[[#This Row],[DATA]],"DDDD")</f>
        <v>quarta-feira</v>
      </c>
      <c r="F174" t="s">
        <v>9</v>
      </c>
    </row>
    <row r="175" spans="1:6" x14ac:dyDescent="0.25">
      <c r="A175" t="s">
        <v>13</v>
      </c>
      <c r="B175" s="2">
        <v>45890</v>
      </c>
      <c r="C175" s="21">
        <v>1445</v>
      </c>
      <c r="D175" s="21" t="str">
        <f>TEXT(Tabela1[[#This Row],[DATA]],"MMMM")</f>
        <v>agosto</v>
      </c>
      <c r="E175" s="5" t="str">
        <f>TEXT(Tabela1[[#This Row],[DATA]],"DDDD")</f>
        <v>quinta-feira</v>
      </c>
      <c r="F175" t="s">
        <v>9</v>
      </c>
    </row>
    <row r="176" spans="1:6" x14ac:dyDescent="0.25">
      <c r="A176" t="s">
        <v>13</v>
      </c>
      <c r="B176" s="2">
        <v>45891</v>
      </c>
      <c r="C176" s="21">
        <v>1524.41</v>
      </c>
      <c r="D176" s="21" t="str">
        <f>TEXT(Tabela1[[#This Row],[DATA]],"MMMM")</f>
        <v>agosto</v>
      </c>
      <c r="E176" s="5" t="str">
        <f>TEXT(Tabela1[[#This Row],[DATA]],"DDDD")</f>
        <v>sexta-feira</v>
      </c>
      <c r="F176" t="s">
        <v>9</v>
      </c>
    </row>
    <row r="177" spans="1:6" x14ac:dyDescent="0.25">
      <c r="A177" t="s">
        <v>13</v>
      </c>
      <c r="B177" s="2">
        <v>45892</v>
      </c>
      <c r="C177" s="21">
        <v>1297.9100000000001</v>
      </c>
      <c r="D177" s="21" t="str">
        <f>TEXT(Tabela1[[#This Row],[DATA]],"MMMM")</f>
        <v>agosto</v>
      </c>
      <c r="E177" s="5" t="str">
        <f>TEXT(Tabela1[[#This Row],[DATA]],"DDDD")</f>
        <v>sábado</v>
      </c>
      <c r="F177" t="s">
        <v>9</v>
      </c>
    </row>
    <row r="178" spans="1:6" x14ac:dyDescent="0.25">
      <c r="A178" t="s">
        <v>13</v>
      </c>
      <c r="B178" s="2">
        <v>45893</v>
      </c>
      <c r="C178" s="3">
        <v>1455</v>
      </c>
      <c r="D178" s="3" t="str">
        <f>TEXT(Tabela1[[#This Row],[DATA]],"MMMM")</f>
        <v>agosto</v>
      </c>
      <c r="E178" s="5" t="str">
        <f>TEXT(Tabela1[[#This Row],[DATA]],"DDDD")</f>
        <v>domingo</v>
      </c>
      <c r="F178" t="s">
        <v>10</v>
      </c>
    </row>
    <row r="179" spans="1:6" x14ac:dyDescent="0.25">
      <c r="A179" t="s">
        <v>13</v>
      </c>
      <c r="B179" s="2">
        <v>45894</v>
      </c>
      <c r="C179" s="3">
        <v>1229.0899999999999</v>
      </c>
      <c r="D179" s="3" t="str">
        <f>TEXT(Tabela1[[#This Row],[DATA]],"MMMM")</f>
        <v>agosto</v>
      </c>
      <c r="E179" s="5" t="str">
        <f>TEXT(Tabela1[[#This Row],[DATA]],"DDDD")</f>
        <v>segunda-feira</v>
      </c>
      <c r="F179" t="s">
        <v>10</v>
      </c>
    </row>
    <row r="180" spans="1:6" x14ac:dyDescent="0.25">
      <c r="A180" t="s">
        <v>13</v>
      </c>
      <c r="B180" s="2">
        <v>45895</v>
      </c>
      <c r="C180" s="3">
        <v>825.84000000000026</v>
      </c>
      <c r="D180" s="3" t="str">
        <f>TEXT(Tabela1[[#This Row],[DATA]],"MMMM")</f>
        <v>agosto</v>
      </c>
      <c r="E180" s="5" t="str">
        <f>TEXT(Tabela1[[#This Row],[DATA]],"DDDD")</f>
        <v>terça-feira</v>
      </c>
      <c r="F180" t="s">
        <v>10</v>
      </c>
    </row>
    <row r="181" spans="1:6" x14ac:dyDescent="0.25">
      <c r="A181" t="s">
        <v>13</v>
      </c>
      <c r="B181" s="2">
        <v>45896</v>
      </c>
      <c r="C181" s="3">
        <v>1141.97</v>
      </c>
      <c r="D181" s="3" t="str">
        <f>TEXT(Tabela1[[#This Row],[DATA]],"MMMM")</f>
        <v>agosto</v>
      </c>
      <c r="E181" s="5" t="str">
        <f>TEXT(Tabela1[[#This Row],[DATA]],"DDDD")</f>
        <v>quarta-feira</v>
      </c>
      <c r="F181" t="s">
        <v>10</v>
      </c>
    </row>
    <row r="182" spans="1:6" x14ac:dyDescent="0.25">
      <c r="A182" t="s">
        <v>13</v>
      </c>
      <c r="B182" s="2">
        <v>45897</v>
      </c>
      <c r="C182" s="21">
        <v>1634</v>
      </c>
      <c r="D182" s="3" t="str">
        <f>TEXT(Tabela1[[#This Row],[DATA]],"MMMM")</f>
        <v>agosto</v>
      </c>
      <c r="E182" s="5" t="str">
        <f>TEXT(Tabela1[[#This Row],[DATA]],"DDDD")</f>
        <v>quinta-feira</v>
      </c>
      <c r="F182" t="s">
        <v>10</v>
      </c>
    </row>
    <row r="183" spans="1:6" x14ac:dyDescent="0.25">
      <c r="A183" t="s">
        <v>13</v>
      </c>
      <c r="B183" s="2">
        <v>45898</v>
      </c>
      <c r="C183" s="21">
        <v>1489.39</v>
      </c>
      <c r="D183" s="3" t="str">
        <f>TEXT(Tabela1[[#This Row],[DATA]],"MMMM")</f>
        <v>agosto</v>
      </c>
      <c r="E183" s="5" t="str">
        <f>TEXT(Tabela1[[#This Row],[DATA]],"DDDD")</f>
        <v>sexta-feira</v>
      </c>
      <c r="F183" t="s">
        <v>10</v>
      </c>
    </row>
    <row r="184" spans="1:6" x14ac:dyDescent="0.25">
      <c r="A184" t="s">
        <v>13</v>
      </c>
      <c r="B184" s="2">
        <v>45899</v>
      </c>
      <c r="C184" s="21">
        <v>1329.25</v>
      </c>
      <c r="D184" s="3" t="str">
        <f>TEXT(Tabela1[[#This Row],[DATA]],"MMMM")</f>
        <v>agosto</v>
      </c>
      <c r="E184" s="5" t="str">
        <f>TEXT(Tabela1[[#This Row],[DATA]],"DDDD")</f>
        <v>sábado</v>
      </c>
      <c r="F184" t="s">
        <v>10</v>
      </c>
    </row>
    <row r="185" spans="1:6" x14ac:dyDescent="0.25">
      <c r="A185" t="s">
        <v>13</v>
      </c>
      <c r="B185" s="2">
        <v>45900</v>
      </c>
      <c r="C185" s="3">
        <v>1598</v>
      </c>
      <c r="D185" s="3" t="str">
        <f>TEXT(Tabela1[[#This Row],[DATA]],"MMMM")</f>
        <v>agosto</v>
      </c>
      <c r="E185" s="5" t="str">
        <f>TEXT(Tabela1[[#This Row],[DATA]],"DDDD")</f>
        <v>domingo</v>
      </c>
      <c r="F185" t="s">
        <v>10</v>
      </c>
    </row>
    <row r="186" spans="1:6" x14ac:dyDescent="0.25">
      <c r="A186" t="s">
        <v>14</v>
      </c>
      <c r="B186" s="2">
        <v>45839</v>
      </c>
      <c r="C186" s="3">
        <v>2191</v>
      </c>
      <c r="D186" s="3" t="str">
        <f>TEXT(Tabela1[[#This Row],[DATA]],"MMMM")</f>
        <v>julho</v>
      </c>
      <c r="E186" s="5" t="str">
        <f>TEXT(Tabela1[[#This Row],[DATA]],"DDDD")</f>
        <v>terça-feira</v>
      </c>
      <c r="F186" t="str">
        <f t="shared" ref="F186:F216" si="3">_xlfn.CONCAT("SEMANA"," ",WEEKNUM(B186)-WEEKNUM(EOMONTH(B186,-1)+1)+1)</f>
        <v>SEMANA 1</v>
      </c>
    </row>
    <row r="187" spans="1:6" x14ac:dyDescent="0.25">
      <c r="A187" t="s">
        <v>14</v>
      </c>
      <c r="B187" s="2">
        <v>45840</v>
      </c>
      <c r="C187" s="3">
        <v>1272.49</v>
      </c>
      <c r="D187" s="3" t="str">
        <f>TEXT(Tabela1[[#This Row],[DATA]],"MMMM")</f>
        <v>julho</v>
      </c>
      <c r="E187" s="5" t="str">
        <f>TEXT(Tabela1[[#This Row],[DATA]],"DDDD")</f>
        <v>quarta-feira</v>
      </c>
      <c r="F187" t="str">
        <f t="shared" si="3"/>
        <v>SEMANA 1</v>
      </c>
    </row>
    <row r="188" spans="1:6" x14ac:dyDescent="0.25">
      <c r="A188" t="s">
        <v>14</v>
      </c>
      <c r="B188" s="2">
        <v>45841</v>
      </c>
      <c r="C188" s="3">
        <v>2667</v>
      </c>
      <c r="D188" s="3" t="str">
        <f>TEXT(Tabela1[[#This Row],[DATA]],"MMMM")</f>
        <v>julho</v>
      </c>
      <c r="E188" s="5" t="str">
        <f>TEXT(Tabela1[[#This Row],[DATA]],"DDDD")</f>
        <v>quinta-feira</v>
      </c>
      <c r="F188" t="str">
        <f t="shared" si="3"/>
        <v>SEMANA 1</v>
      </c>
    </row>
    <row r="189" spans="1:6" x14ac:dyDescent="0.25">
      <c r="A189" t="s">
        <v>14</v>
      </c>
      <c r="B189" s="2">
        <v>45842</v>
      </c>
      <c r="C189" s="3">
        <v>3760.16</v>
      </c>
      <c r="D189" s="3" t="str">
        <f>TEXT(Tabela1[[#This Row],[DATA]],"MMMM")</f>
        <v>julho</v>
      </c>
      <c r="E189" s="5" t="str">
        <f>TEXT(Tabela1[[#This Row],[DATA]],"DDDD")</f>
        <v>sexta-feira</v>
      </c>
      <c r="F189" t="str">
        <f t="shared" si="3"/>
        <v>SEMANA 1</v>
      </c>
    </row>
    <row r="190" spans="1:6" x14ac:dyDescent="0.25">
      <c r="A190" t="s">
        <v>14</v>
      </c>
      <c r="B190" s="2">
        <v>45843</v>
      </c>
      <c r="C190" s="3">
        <v>2389.2800000000002</v>
      </c>
      <c r="D190" s="3" t="str">
        <f>TEXT(Tabela1[[#This Row],[DATA]],"MMMM")</f>
        <v>julho</v>
      </c>
      <c r="E190" s="5" t="str">
        <f>TEXT(Tabela1[[#This Row],[DATA]],"DDDD")</f>
        <v>sábado</v>
      </c>
      <c r="F190" t="str">
        <f t="shared" si="3"/>
        <v>SEMANA 1</v>
      </c>
    </row>
    <row r="191" spans="1:6" x14ac:dyDescent="0.25">
      <c r="A191" t="s">
        <v>14</v>
      </c>
      <c r="B191" s="2">
        <v>45844</v>
      </c>
      <c r="C191" s="3">
        <v>1307.96</v>
      </c>
      <c r="D191" s="3" t="str">
        <f>TEXT(Tabela1[[#This Row],[DATA]],"MMMM")</f>
        <v>julho</v>
      </c>
      <c r="E191" s="5" t="str">
        <f>TEXT(Tabela1[[#This Row],[DATA]],"DDDD")</f>
        <v>domingo</v>
      </c>
      <c r="F191" t="str">
        <f t="shared" si="3"/>
        <v>SEMANA 2</v>
      </c>
    </row>
    <row r="192" spans="1:6" x14ac:dyDescent="0.25">
      <c r="A192" t="s">
        <v>14</v>
      </c>
      <c r="B192" s="2">
        <v>45845</v>
      </c>
      <c r="C192" s="3">
        <v>1455</v>
      </c>
      <c r="D192" s="3" t="str">
        <f>TEXT(Tabela1[[#This Row],[DATA]],"MMMM")</f>
        <v>julho</v>
      </c>
      <c r="E192" s="5" t="str">
        <f>TEXT(Tabela1[[#This Row],[DATA]],"DDDD")</f>
        <v>segunda-feira</v>
      </c>
      <c r="F192" t="str">
        <f t="shared" si="3"/>
        <v>SEMANA 2</v>
      </c>
    </row>
    <row r="193" spans="1:6" x14ac:dyDescent="0.25">
      <c r="A193" t="s">
        <v>14</v>
      </c>
      <c r="B193" s="2">
        <v>45846</v>
      </c>
      <c r="C193" s="3">
        <v>2226.87</v>
      </c>
      <c r="D193" s="3" t="str">
        <f>TEXT(Tabela1[[#This Row],[DATA]],"MMMM")</f>
        <v>julho</v>
      </c>
      <c r="E193" s="5" t="str">
        <f>TEXT(Tabela1[[#This Row],[DATA]],"DDDD")</f>
        <v>terça-feira</v>
      </c>
      <c r="F193" t="str">
        <f t="shared" si="3"/>
        <v>SEMANA 2</v>
      </c>
    </row>
    <row r="194" spans="1:6" x14ac:dyDescent="0.25">
      <c r="A194" t="s">
        <v>14</v>
      </c>
      <c r="B194" s="2">
        <v>45847</v>
      </c>
      <c r="C194" s="3">
        <v>3004</v>
      </c>
      <c r="D194" s="3" t="str">
        <f>TEXT(Tabela1[[#This Row],[DATA]],"MMMM")</f>
        <v>julho</v>
      </c>
      <c r="E194" s="5" t="str">
        <f>TEXT(Tabela1[[#This Row],[DATA]],"DDDD")</f>
        <v>quarta-feira</v>
      </c>
      <c r="F194" t="str">
        <f t="shared" si="3"/>
        <v>SEMANA 2</v>
      </c>
    </row>
    <row r="195" spans="1:6" x14ac:dyDescent="0.25">
      <c r="A195" t="s">
        <v>14</v>
      </c>
      <c r="B195" s="2">
        <v>45848</v>
      </c>
      <c r="C195" s="3">
        <v>2876.79</v>
      </c>
      <c r="D195" s="3" t="str">
        <f>TEXT(Tabela1[[#This Row],[DATA]],"MMMM")</f>
        <v>julho</v>
      </c>
      <c r="E195" s="5" t="str">
        <f>TEXT(Tabela1[[#This Row],[DATA]],"DDDD")</f>
        <v>quinta-feira</v>
      </c>
      <c r="F195" t="str">
        <f t="shared" si="3"/>
        <v>SEMANA 2</v>
      </c>
    </row>
    <row r="196" spans="1:6" x14ac:dyDescent="0.25">
      <c r="A196" t="s">
        <v>14</v>
      </c>
      <c r="B196" s="2">
        <v>45849</v>
      </c>
      <c r="C196" s="3">
        <v>2482</v>
      </c>
      <c r="D196" s="3" t="str">
        <f>TEXT(Tabela1[[#This Row],[DATA]],"MMMM")</f>
        <v>julho</v>
      </c>
      <c r="E196" s="5" t="str">
        <f>TEXT(Tabela1[[#This Row],[DATA]],"DDDD")</f>
        <v>sexta-feira</v>
      </c>
      <c r="F196" t="str">
        <f t="shared" si="3"/>
        <v>SEMANA 2</v>
      </c>
    </row>
    <row r="197" spans="1:6" x14ac:dyDescent="0.25">
      <c r="A197" t="s">
        <v>14</v>
      </c>
      <c r="B197" s="2">
        <v>45850</v>
      </c>
      <c r="C197" s="3">
        <v>3209</v>
      </c>
      <c r="D197" s="3" t="str">
        <f>TEXT(Tabela1[[#This Row],[DATA]],"MMMM")</f>
        <v>julho</v>
      </c>
      <c r="E197" s="5" t="str">
        <f>TEXT(Tabela1[[#This Row],[DATA]],"DDDD")</f>
        <v>sábado</v>
      </c>
      <c r="F197" t="str">
        <f t="shared" si="3"/>
        <v>SEMANA 2</v>
      </c>
    </row>
    <row r="198" spans="1:6" x14ac:dyDescent="0.25">
      <c r="A198" t="s">
        <v>14</v>
      </c>
      <c r="B198" s="2">
        <v>45851</v>
      </c>
      <c r="C198" s="3">
        <v>2346.6</v>
      </c>
      <c r="D198" s="3" t="str">
        <f>TEXT(Tabela1[[#This Row],[DATA]],"MMMM")</f>
        <v>julho</v>
      </c>
      <c r="E198" s="5" t="str">
        <f>TEXT(Tabela1[[#This Row],[DATA]],"DDDD")</f>
        <v>domingo</v>
      </c>
      <c r="F198" t="str">
        <f t="shared" si="3"/>
        <v>SEMANA 3</v>
      </c>
    </row>
    <row r="199" spans="1:6" x14ac:dyDescent="0.25">
      <c r="A199" t="s">
        <v>14</v>
      </c>
      <c r="B199" s="2">
        <v>45852</v>
      </c>
      <c r="C199" s="3">
        <v>2496</v>
      </c>
      <c r="D199" s="3" t="str">
        <f>TEXT(Tabela1[[#This Row],[DATA]],"MMMM")</f>
        <v>julho</v>
      </c>
      <c r="E199" s="5" t="str">
        <f>TEXT(Tabela1[[#This Row],[DATA]],"DDDD")</f>
        <v>segunda-feira</v>
      </c>
      <c r="F199" t="str">
        <f t="shared" si="3"/>
        <v>SEMANA 3</v>
      </c>
    </row>
    <row r="200" spans="1:6" x14ac:dyDescent="0.25">
      <c r="A200" t="s">
        <v>14</v>
      </c>
      <c r="B200" s="2">
        <v>45853</v>
      </c>
      <c r="C200" s="3">
        <v>2226.87</v>
      </c>
      <c r="D200" s="3" t="str">
        <f>TEXT(Tabela1[[#This Row],[DATA]],"MMMM")</f>
        <v>julho</v>
      </c>
      <c r="E200" s="5" t="str">
        <f>TEXT(Tabela1[[#This Row],[DATA]],"DDDD")</f>
        <v>terça-feira</v>
      </c>
      <c r="F200" t="str">
        <f t="shared" si="3"/>
        <v>SEMANA 3</v>
      </c>
    </row>
    <row r="201" spans="1:6" x14ac:dyDescent="0.25">
      <c r="A201" t="s">
        <v>14</v>
      </c>
      <c r="B201" s="2">
        <v>45854</v>
      </c>
      <c r="C201" s="3">
        <v>2902.76</v>
      </c>
      <c r="D201" s="3" t="str">
        <f>TEXT(Tabela1[[#This Row],[DATA]],"MMMM")</f>
        <v>julho</v>
      </c>
      <c r="E201" s="5" t="str">
        <f>TEXT(Tabela1[[#This Row],[DATA]],"DDDD")</f>
        <v>quarta-feira</v>
      </c>
      <c r="F201" t="str">
        <f t="shared" si="3"/>
        <v>SEMANA 3</v>
      </c>
    </row>
    <row r="202" spans="1:6" x14ac:dyDescent="0.25">
      <c r="A202" t="s">
        <v>14</v>
      </c>
      <c r="B202" s="2">
        <v>45855</v>
      </c>
      <c r="C202" s="3">
        <v>2191.98</v>
      </c>
      <c r="D202" s="3" t="str">
        <f>TEXT(Tabela1[[#This Row],[DATA]],"MMMM")</f>
        <v>julho</v>
      </c>
      <c r="E202" s="5" t="str">
        <f>TEXT(Tabela1[[#This Row],[DATA]],"DDDD")</f>
        <v>quinta-feira</v>
      </c>
      <c r="F202" t="str">
        <f t="shared" si="3"/>
        <v>SEMANA 3</v>
      </c>
    </row>
    <row r="203" spans="1:6" x14ac:dyDescent="0.25">
      <c r="A203" t="s">
        <v>14</v>
      </c>
      <c r="B203" s="2">
        <v>45856</v>
      </c>
      <c r="C203" s="3">
        <v>2898</v>
      </c>
      <c r="D203" s="3" t="str">
        <f>TEXT(Tabela1[[#This Row],[DATA]],"MMMM")</f>
        <v>julho</v>
      </c>
      <c r="E203" s="5" t="str">
        <f>TEXT(Tabela1[[#This Row],[DATA]],"DDDD")</f>
        <v>sexta-feira</v>
      </c>
      <c r="F203" t="str">
        <f t="shared" si="3"/>
        <v>SEMANA 3</v>
      </c>
    </row>
    <row r="204" spans="1:6" x14ac:dyDescent="0.25">
      <c r="A204" t="s">
        <v>14</v>
      </c>
      <c r="B204" s="2">
        <v>45857</v>
      </c>
      <c r="C204" s="3">
        <v>2930</v>
      </c>
      <c r="D204" s="3" t="str">
        <f>TEXT(Tabela1[[#This Row],[DATA]],"MMMM")</f>
        <v>julho</v>
      </c>
      <c r="E204" s="5" t="str">
        <f>TEXT(Tabela1[[#This Row],[DATA]],"DDDD")</f>
        <v>sábado</v>
      </c>
      <c r="F204" t="str">
        <f t="shared" si="3"/>
        <v>SEMANA 3</v>
      </c>
    </row>
    <row r="205" spans="1:6" x14ac:dyDescent="0.25">
      <c r="A205" t="s">
        <v>14</v>
      </c>
      <c r="B205" s="2">
        <v>45858</v>
      </c>
      <c r="C205" s="3">
        <v>2346.6</v>
      </c>
      <c r="D205" s="3" t="str">
        <f>TEXT(Tabela1[[#This Row],[DATA]],"MMMM")</f>
        <v>julho</v>
      </c>
      <c r="E205" s="5" t="str">
        <f>TEXT(Tabela1[[#This Row],[DATA]],"DDDD")</f>
        <v>domingo</v>
      </c>
      <c r="F205" t="str">
        <f t="shared" si="3"/>
        <v>SEMANA 4</v>
      </c>
    </row>
    <row r="206" spans="1:6" x14ac:dyDescent="0.25">
      <c r="A206" t="s">
        <v>14</v>
      </c>
      <c r="B206" s="2">
        <v>45859</v>
      </c>
      <c r="C206" s="3">
        <v>2399.89</v>
      </c>
      <c r="D206" s="3" t="str">
        <f>TEXT(Tabela1[[#This Row],[DATA]],"MMMM")</f>
        <v>julho</v>
      </c>
      <c r="E206" s="5" t="str">
        <f>TEXT(Tabela1[[#This Row],[DATA]],"DDDD")</f>
        <v>segunda-feira</v>
      </c>
      <c r="F206" t="str">
        <f t="shared" si="3"/>
        <v>SEMANA 4</v>
      </c>
    </row>
    <row r="207" spans="1:6" x14ac:dyDescent="0.25">
      <c r="A207" t="s">
        <v>14</v>
      </c>
      <c r="B207" s="2">
        <v>45860</v>
      </c>
      <c r="C207" s="3">
        <v>2184</v>
      </c>
      <c r="D207" s="3" t="str">
        <f>TEXT(Tabela1[[#This Row],[DATA]],"MMMM")</f>
        <v>julho</v>
      </c>
      <c r="E207" s="5" t="str">
        <f>TEXT(Tabela1[[#This Row],[DATA]],"DDDD")</f>
        <v>terça-feira</v>
      </c>
      <c r="F207" t="str">
        <f t="shared" si="3"/>
        <v>SEMANA 4</v>
      </c>
    </row>
    <row r="208" spans="1:6" x14ac:dyDescent="0.25">
      <c r="A208" t="s">
        <v>14</v>
      </c>
      <c r="B208" s="2">
        <v>45861</v>
      </c>
      <c r="C208" s="3">
        <v>1954</v>
      </c>
      <c r="D208" s="3" t="str">
        <f>TEXT(Tabela1[[#This Row],[DATA]],"MMMM")</f>
        <v>julho</v>
      </c>
      <c r="E208" s="5" t="str">
        <f>TEXT(Tabela1[[#This Row],[DATA]],"DDDD")</f>
        <v>quarta-feira</v>
      </c>
      <c r="F208" t="str">
        <f t="shared" si="3"/>
        <v>SEMANA 4</v>
      </c>
    </row>
    <row r="209" spans="1:6" x14ac:dyDescent="0.25">
      <c r="A209" t="s">
        <v>14</v>
      </c>
      <c r="B209" s="2">
        <v>45862</v>
      </c>
      <c r="C209" s="3">
        <v>2640.7</v>
      </c>
      <c r="D209" s="3" t="str">
        <f>TEXT(Tabela1[[#This Row],[DATA]],"MMMM")</f>
        <v>julho</v>
      </c>
      <c r="E209" s="5" t="str">
        <f>TEXT(Tabela1[[#This Row],[DATA]],"DDDD")</f>
        <v>quinta-feira</v>
      </c>
      <c r="F209" t="str">
        <f t="shared" si="3"/>
        <v>SEMANA 4</v>
      </c>
    </row>
    <row r="210" spans="1:6" x14ac:dyDescent="0.25">
      <c r="A210" t="s">
        <v>14</v>
      </c>
      <c r="B210" s="2">
        <v>45863</v>
      </c>
      <c r="C210" s="3">
        <v>2620.1</v>
      </c>
      <c r="D210" s="3" t="str">
        <f>TEXT(Tabela1[[#This Row],[DATA]],"MMMM")</f>
        <v>julho</v>
      </c>
      <c r="E210" s="5" t="str">
        <f>TEXT(Tabela1[[#This Row],[DATA]],"DDDD")</f>
        <v>sexta-feira</v>
      </c>
      <c r="F210" t="str">
        <f t="shared" si="3"/>
        <v>SEMANA 4</v>
      </c>
    </row>
    <row r="211" spans="1:6" x14ac:dyDescent="0.25">
      <c r="A211" t="s">
        <v>14</v>
      </c>
      <c r="B211" s="2">
        <v>45864</v>
      </c>
      <c r="C211" s="3">
        <v>2882</v>
      </c>
      <c r="D211" s="3" t="str">
        <f>TEXT(Tabela1[[#This Row],[DATA]],"MMMM")</f>
        <v>julho</v>
      </c>
      <c r="E211" s="5" t="str">
        <f>TEXT(Tabela1[[#This Row],[DATA]],"DDDD")</f>
        <v>sábado</v>
      </c>
      <c r="F211" t="str">
        <f t="shared" si="3"/>
        <v>SEMANA 4</v>
      </c>
    </row>
    <row r="212" spans="1:6" x14ac:dyDescent="0.25">
      <c r="A212" t="s">
        <v>14</v>
      </c>
      <c r="B212" s="2">
        <v>45865</v>
      </c>
      <c r="C212" s="3">
        <v>1307.96</v>
      </c>
      <c r="D212" s="3" t="str">
        <f>TEXT(Tabela1[[#This Row],[DATA]],"MMMM")</f>
        <v>julho</v>
      </c>
      <c r="E212" s="5" t="str">
        <f>TEXT(Tabela1[[#This Row],[DATA]],"DDDD")</f>
        <v>domingo</v>
      </c>
      <c r="F212" t="str">
        <f t="shared" si="3"/>
        <v>SEMANA 5</v>
      </c>
    </row>
    <row r="213" spans="1:6" x14ac:dyDescent="0.25">
      <c r="A213" t="s">
        <v>14</v>
      </c>
      <c r="B213" s="2">
        <v>45866</v>
      </c>
      <c r="C213" s="3">
        <v>1758</v>
      </c>
      <c r="D213" s="3" t="str">
        <f>TEXT(Tabela1[[#This Row],[DATA]],"MMMM")</f>
        <v>julho</v>
      </c>
      <c r="E213" s="5" t="str">
        <f>TEXT(Tabela1[[#This Row],[DATA]],"DDDD")</f>
        <v>segunda-feira</v>
      </c>
      <c r="F213" t="str">
        <f t="shared" si="3"/>
        <v>SEMANA 5</v>
      </c>
    </row>
    <row r="214" spans="1:6" x14ac:dyDescent="0.25">
      <c r="A214" t="s">
        <v>14</v>
      </c>
      <c r="B214" s="2">
        <v>45867</v>
      </c>
      <c r="C214" s="3">
        <v>3328.5</v>
      </c>
      <c r="D214" s="3" t="str">
        <f>TEXT(Tabela1[[#This Row],[DATA]],"MMMM")</f>
        <v>julho</v>
      </c>
      <c r="E214" s="5" t="str">
        <f>TEXT(Tabela1[[#This Row],[DATA]],"DDDD")</f>
        <v>terça-feira</v>
      </c>
      <c r="F214" t="str">
        <f t="shared" si="3"/>
        <v>SEMANA 5</v>
      </c>
    </row>
    <row r="215" spans="1:6" x14ac:dyDescent="0.25">
      <c r="A215" t="s">
        <v>14</v>
      </c>
      <c r="B215" s="2">
        <v>45868</v>
      </c>
      <c r="C215" s="3">
        <v>2663</v>
      </c>
      <c r="D215" s="3" t="str">
        <f>TEXT(Tabela1[[#This Row],[DATA]],"MMMM")</f>
        <v>julho</v>
      </c>
      <c r="E215" s="5" t="str">
        <f>TEXT(Tabela1[[#This Row],[DATA]],"DDDD")</f>
        <v>quarta-feira</v>
      </c>
      <c r="F215" t="str">
        <f t="shared" si="3"/>
        <v>SEMANA 5</v>
      </c>
    </row>
    <row r="216" spans="1:6" x14ac:dyDescent="0.25">
      <c r="A216" t="s">
        <v>14</v>
      </c>
      <c r="B216" s="2">
        <v>45869</v>
      </c>
      <c r="C216" s="3">
        <v>2937</v>
      </c>
      <c r="D216" s="3" t="str">
        <f>TEXT(Tabela1[[#This Row],[DATA]],"MMMM")</f>
        <v>julho</v>
      </c>
      <c r="E216" s="5" t="str">
        <f>TEXT(Tabela1[[#This Row],[DATA]],"DDDD")</f>
        <v>quinta-feira</v>
      </c>
      <c r="F216" t="str">
        <f t="shared" si="3"/>
        <v>SEMANA 5</v>
      </c>
    </row>
    <row r="217" spans="1:6" x14ac:dyDescent="0.25">
      <c r="A217" t="s">
        <v>14</v>
      </c>
      <c r="B217" s="2">
        <v>45870</v>
      </c>
      <c r="C217" s="3">
        <v>2072.9899999999998</v>
      </c>
      <c r="D217" s="3" t="str">
        <f>TEXT(Tabela1[[#This Row],[DATA]],"MMMM")</f>
        <v>agosto</v>
      </c>
      <c r="E217" s="5" t="str">
        <f>TEXT(Tabela1[[#This Row],[DATA]],"DDDD")</f>
        <v>sexta-feira</v>
      </c>
      <c r="F217" t="s">
        <v>7</v>
      </c>
    </row>
    <row r="218" spans="1:6" x14ac:dyDescent="0.25">
      <c r="A218" t="s">
        <v>14</v>
      </c>
      <c r="B218" s="2">
        <v>45871</v>
      </c>
      <c r="C218" s="3">
        <v>2177</v>
      </c>
      <c r="D218" s="3" t="str">
        <f>TEXT(Tabela1[[#This Row],[DATA]],"MMMM")</f>
        <v>agosto</v>
      </c>
      <c r="E218" s="5" t="str">
        <f>TEXT(Tabela1[[#This Row],[DATA]],"DDDD")</f>
        <v>sábado</v>
      </c>
      <c r="F218" t="s">
        <v>7</v>
      </c>
    </row>
    <row r="219" spans="1:6" x14ac:dyDescent="0.25">
      <c r="A219" t="s">
        <v>14</v>
      </c>
      <c r="B219" s="2">
        <v>45872</v>
      </c>
      <c r="C219" s="3">
        <v>2767</v>
      </c>
      <c r="D219" s="3" t="str">
        <f>TEXT(Tabela1[[#This Row],[DATA]],"MMMM")</f>
        <v>agosto</v>
      </c>
      <c r="E219" s="5" t="str">
        <f>TEXT(Tabela1[[#This Row],[DATA]],"DDDD")</f>
        <v>domingo</v>
      </c>
      <c r="F219" t="s">
        <v>7</v>
      </c>
    </row>
    <row r="220" spans="1:6" x14ac:dyDescent="0.25">
      <c r="A220" t="s">
        <v>14</v>
      </c>
      <c r="B220" s="2">
        <v>45873</v>
      </c>
      <c r="C220" s="3">
        <v>2922</v>
      </c>
      <c r="D220" s="3" t="str">
        <f>TEXT(Tabela1[[#This Row],[DATA]],"MMMM")</f>
        <v>agosto</v>
      </c>
      <c r="E220" s="5" t="str">
        <f>TEXT(Tabela1[[#This Row],[DATA]],"DDDD")</f>
        <v>segunda-feira</v>
      </c>
      <c r="F220" t="s">
        <v>7</v>
      </c>
    </row>
    <row r="221" spans="1:6" x14ac:dyDescent="0.25">
      <c r="A221" t="s">
        <v>14</v>
      </c>
      <c r="B221" s="2">
        <v>45874</v>
      </c>
      <c r="C221" s="3">
        <v>2674</v>
      </c>
      <c r="D221" s="3" t="str">
        <f>TEXT(Tabela1[[#This Row],[DATA]],"MMMM")</f>
        <v>agosto</v>
      </c>
      <c r="E221" s="5" t="str">
        <f>TEXT(Tabela1[[#This Row],[DATA]],"DDDD")</f>
        <v>terça-feira</v>
      </c>
      <c r="F221" t="s">
        <v>7</v>
      </c>
    </row>
    <row r="222" spans="1:6" x14ac:dyDescent="0.25">
      <c r="A222" t="s">
        <v>14</v>
      </c>
      <c r="B222" s="2">
        <v>45875</v>
      </c>
      <c r="C222" s="3">
        <v>826.91</v>
      </c>
      <c r="D222" s="3" t="str">
        <f>TEXT(Tabela1[[#This Row],[DATA]],"MMMM")</f>
        <v>agosto</v>
      </c>
      <c r="E222" s="5" t="str">
        <f>TEXT(Tabela1[[#This Row],[DATA]],"DDDD")</f>
        <v>quarta-feira</v>
      </c>
      <c r="F222" t="s">
        <v>7</v>
      </c>
    </row>
    <row r="223" spans="1:6" x14ac:dyDescent="0.25">
      <c r="A223" t="s">
        <v>14</v>
      </c>
      <c r="B223" s="2">
        <v>45876</v>
      </c>
      <c r="C223" s="3">
        <v>2617</v>
      </c>
      <c r="D223" s="3" t="str">
        <f>TEXT(Tabela1[[#This Row],[DATA]],"MMMM")</f>
        <v>agosto</v>
      </c>
      <c r="E223" s="5" t="str">
        <f>TEXT(Tabela1[[#This Row],[DATA]],"DDDD")</f>
        <v>quinta-feira</v>
      </c>
      <c r="F223" t="s">
        <v>7</v>
      </c>
    </row>
    <row r="224" spans="1:6" x14ac:dyDescent="0.25">
      <c r="A224" t="s">
        <v>14</v>
      </c>
      <c r="B224" s="2">
        <v>45877</v>
      </c>
      <c r="C224" s="3">
        <v>2095</v>
      </c>
      <c r="D224" s="3" t="str">
        <f>TEXT(Tabela1[[#This Row],[DATA]],"MMMM")</f>
        <v>agosto</v>
      </c>
      <c r="E224" s="5" t="str">
        <f>TEXT(Tabela1[[#This Row],[DATA]],"DDDD")</f>
        <v>sexta-feira</v>
      </c>
      <c r="F224" t="s">
        <v>7</v>
      </c>
    </row>
    <row r="225" spans="1:6" x14ac:dyDescent="0.25">
      <c r="A225" t="s">
        <v>14</v>
      </c>
      <c r="B225" s="2">
        <v>45878</v>
      </c>
      <c r="C225" s="3">
        <v>2481</v>
      </c>
      <c r="D225" s="3" t="str">
        <f>TEXT(Tabela1[[#This Row],[DATA]],"MMMM")</f>
        <v>agosto</v>
      </c>
      <c r="E225" s="5" t="str">
        <f>TEXT(Tabela1[[#This Row],[DATA]],"DDDD")</f>
        <v>sábado</v>
      </c>
      <c r="F225" t="s">
        <v>7</v>
      </c>
    </row>
    <row r="226" spans="1:6" x14ac:dyDescent="0.25">
      <c r="A226" t="s">
        <v>14</v>
      </c>
      <c r="B226" s="2">
        <v>45879</v>
      </c>
      <c r="C226" s="3">
        <v>2711.5</v>
      </c>
      <c r="D226" s="3" t="str">
        <f>TEXT(Tabela1[[#This Row],[DATA]],"MMMM")</f>
        <v>agosto</v>
      </c>
      <c r="E226" s="5" t="str">
        <f>TEXT(Tabela1[[#This Row],[DATA]],"DDDD")</f>
        <v>domingo</v>
      </c>
      <c r="F226" t="s">
        <v>8</v>
      </c>
    </row>
    <row r="227" spans="1:6" x14ac:dyDescent="0.25">
      <c r="A227" t="s">
        <v>14</v>
      </c>
      <c r="B227" s="2">
        <v>45880</v>
      </c>
      <c r="C227" s="3">
        <v>1390</v>
      </c>
      <c r="D227" s="3" t="str">
        <f>TEXT(Tabela1[[#This Row],[DATA]],"MMMM")</f>
        <v>agosto</v>
      </c>
      <c r="E227" s="5" t="str">
        <f>TEXT(Tabela1[[#This Row],[DATA]],"DDDD")</f>
        <v>segunda-feira</v>
      </c>
      <c r="F227" t="s">
        <v>8</v>
      </c>
    </row>
    <row r="228" spans="1:6" x14ac:dyDescent="0.25">
      <c r="A228" t="s">
        <v>14</v>
      </c>
      <c r="B228" s="2">
        <v>45881</v>
      </c>
      <c r="C228" s="3">
        <v>1131.79</v>
      </c>
      <c r="D228" s="3" t="str">
        <f>TEXT(Tabela1[[#This Row],[DATA]],"MMMM")</f>
        <v>agosto</v>
      </c>
      <c r="E228" s="5" t="str">
        <f>TEXT(Tabela1[[#This Row],[DATA]],"DDDD")</f>
        <v>terça-feira</v>
      </c>
      <c r="F228" t="s">
        <v>8</v>
      </c>
    </row>
    <row r="229" spans="1:6" x14ac:dyDescent="0.25">
      <c r="A229" t="s">
        <v>14</v>
      </c>
      <c r="B229" s="2">
        <v>45882</v>
      </c>
      <c r="C229" s="3">
        <v>2322.88</v>
      </c>
      <c r="D229" s="3" t="str">
        <f>TEXT(Tabela1[[#This Row],[DATA]],"MMMM")</f>
        <v>agosto</v>
      </c>
      <c r="E229" s="5" t="str">
        <f>TEXT(Tabela1[[#This Row],[DATA]],"DDDD")</f>
        <v>quarta-feira</v>
      </c>
      <c r="F229" t="s">
        <v>8</v>
      </c>
    </row>
    <row r="230" spans="1:6" x14ac:dyDescent="0.25">
      <c r="A230" t="s">
        <v>14</v>
      </c>
      <c r="B230" s="2">
        <v>45883</v>
      </c>
      <c r="C230" s="3">
        <v>2254</v>
      </c>
      <c r="D230" s="3" t="str">
        <f>TEXT(Tabela1[[#This Row],[DATA]],"MMMM")</f>
        <v>agosto</v>
      </c>
      <c r="E230" s="5" t="str">
        <f>TEXT(Tabela1[[#This Row],[DATA]],"DDDD")</f>
        <v>quinta-feira</v>
      </c>
      <c r="F230" t="s">
        <v>8</v>
      </c>
    </row>
    <row r="231" spans="1:6" x14ac:dyDescent="0.25">
      <c r="A231" t="s">
        <v>14</v>
      </c>
      <c r="B231" s="2">
        <v>45884</v>
      </c>
      <c r="C231" s="3">
        <v>2741</v>
      </c>
      <c r="D231" s="3" t="str">
        <f>TEXT(Tabela1[[#This Row],[DATA]],"MMMM")</f>
        <v>agosto</v>
      </c>
      <c r="E231" s="5" t="str">
        <f>TEXT(Tabela1[[#This Row],[DATA]],"DDDD")</f>
        <v>sexta-feira</v>
      </c>
      <c r="F231" t="s">
        <v>8</v>
      </c>
    </row>
    <row r="232" spans="1:6" x14ac:dyDescent="0.25">
      <c r="A232" t="s">
        <v>14</v>
      </c>
      <c r="B232" s="2">
        <v>45885</v>
      </c>
      <c r="C232" s="3">
        <v>2325</v>
      </c>
      <c r="D232" s="3" t="str">
        <f>TEXT(Tabela1[[#This Row],[DATA]],"MMMM")</f>
        <v>agosto</v>
      </c>
      <c r="E232" s="5" t="str">
        <f>TEXT(Tabela1[[#This Row],[DATA]],"DDDD")</f>
        <v>sábado</v>
      </c>
      <c r="F232" t="s">
        <v>8</v>
      </c>
    </row>
    <row r="233" spans="1:6" x14ac:dyDescent="0.25">
      <c r="A233" t="s">
        <v>14</v>
      </c>
      <c r="B233" s="2">
        <v>45886</v>
      </c>
      <c r="C233" s="3">
        <v>1721</v>
      </c>
      <c r="D233" s="3" t="str">
        <f>TEXT(Tabela1[[#This Row],[DATA]],"MMMM")</f>
        <v>agosto</v>
      </c>
      <c r="E233" s="5" t="str">
        <f>TEXT(Tabela1[[#This Row],[DATA]],"DDDD")</f>
        <v>domingo</v>
      </c>
      <c r="F233" t="s">
        <v>9</v>
      </c>
    </row>
    <row r="234" spans="1:6" x14ac:dyDescent="0.25">
      <c r="A234" t="s">
        <v>14</v>
      </c>
      <c r="B234" s="2">
        <v>45887</v>
      </c>
      <c r="C234" s="3">
        <v>1721</v>
      </c>
      <c r="D234" s="3" t="str">
        <f>TEXT(Tabela1[[#This Row],[DATA]],"MMMM")</f>
        <v>agosto</v>
      </c>
      <c r="E234" s="5" t="str">
        <f>TEXT(Tabela1[[#This Row],[DATA]],"DDDD")</f>
        <v>segunda-feira</v>
      </c>
      <c r="F234" t="s">
        <v>9</v>
      </c>
    </row>
    <row r="235" spans="1:6" x14ac:dyDescent="0.25">
      <c r="A235" t="s">
        <v>14</v>
      </c>
      <c r="B235" s="2">
        <v>45888</v>
      </c>
      <c r="C235" s="3">
        <v>972.44</v>
      </c>
      <c r="D235" s="3" t="str">
        <f>TEXT(Tabela1[[#This Row],[DATA]],"MMMM")</f>
        <v>agosto</v>
      </c>
      <c r="E235" s="5" t="str">
        <f>TEXT(Tabela1[[#This Row],[DATA]],"DDDD")</f>
        <v>terça-feira</v>
      </c>
      <c r="F235" t="s">
        <v>9</v>
      </c>
    </row>
    <row r="236" spans="1:6" x14ac:dyDescent="0.25">
      <c r="A236" t="s">
        <v>14</v>
      </c>
      <c r="B236" s="2">
        <v>45889</v>
      </c>
      <c r="C236" s="21">
        <v>987.09</v>
      </c>
      <c r="D236" s="21" t="str">
        <f>TEXT(Tabela1[[#This Row],[DATA]],"MMMM")</f>
        <v>agosto</v>
      </c>
      <c r="E236" s="5" t="str">
        <f>TEXT(Tabela1[[#This Row],[DATA]],"DDDD")</f>
        <v>quarta-feira</v>
      </c>
      <c r="F236" t="s">
        <v>9</v>
      </c>
    </row>
    <row r="237" spans="1:6" x14ac:dyDescent="0.25">
      <c r="A237" t="s">
        <v>14</v>
      </c>
      <c r="B237" s="2">
        <v>45890</v>
      </c>
      <c r="C237" s="21">
        <v>1034.6300000000001</v>
      </c>
      <c r="D237" s="21" t="str">
        <f>TEXT(Tabela1[[#This Row],[DATA]],"MMMM")</f>
        <v>agosto</v>
      </c>
      <c r="E237" s="5" t="str">
        <f>TEXT(Tabela1[[#This Row],[DATA]],"DDDD")</f>
        <v>quinta-feira</v>
      </c>
      <c r="F237" t="s">
        <v>9</v>
      </c>
    </row>
    <row r="238" spans="1:6" x14ac:dyDescent="0.25">
      <c r="A238" t="s">
        <v>14</v>
      </c>
      <c r="B238" s="2">
        <v>45891</v>
      </c>
      <c r="C238" s="21">
        <v>1807.18</v>
      </c>
      <c r="D238" s="21" t="str">
        <f>TEXT(Tabela1[[#This Row],[DATA]],"MMMM")</f>
        <v>agosto</v>
      </c>
      <c r="E238" s="5" t="str">
        <f>TEXT(Tabela1[[#This Row],[DATA]],"DDDD")</f>
        <v>sexta-feira</v>
      </c>
      <c r="F238" t="s">
        <v>9</v>
      </c>
    </row>
    <row r="239" spans="1:6" x14ac:dyDescent="0.25">
      <c r="A239" t="s">
        <v>14</v>
      </c>
      <c r="B239" s="2">
        <v>45892</v>
      </c>
      <c r="C239" s="21">
        <v>1259.6500000000001</v>
      </c>
      <c r="D239" s="21" t="str">
        <f>TEXT(Tabela1[[#This Row],[DATA]],"MMMM")</f>
        <v>agosto</v>
      </c>
      <c r="E239" s="5" t="str">
        <f>TEXT(Tabela1[[#This Row],[DATA]],"DDDD")</f>
        <v>sábado</v>
      </c>
      <c r="F239" t="s">
        <v>9</v>
      </c>
    </row>
    <row r="240" spans="1:6" x14ac:dyDescent="0.25">
      <c r="A240" t="s">
        <v>14</v>
      </c>
      <c r="B240" s="2">
        <v>45893</v>
      </c>
      <c r="C240" s="3">
        <v>2703.86</v>
      </c>
      <c r="D240" s="3" t="str">
        <f>TEXT(Tabela1[[#This Row],[DATA]],"MMMM")</f>
        <v>agosto</v>
      </c>
      <c r="E240" s="5" t="str">
        <f>TEXT(Tabela1[[#This Row],[DATA]],"DDDD")</f>
        <v>domingo</v>
      </c>
      <c r="F240" t="s">
        <v>10</v>
      </c>
    </row>
    <row r="241" spans="1:6" x14ac:dyDescent="0.25">
      <c r="A241" t="s">
        <v>14</v>
      </c>
      <c r="B241" s="2">
        <v>45894</v>
      </c>
      <c r="C241" s="3">
        <v>1916.49</v>
      </c>
      <c r="D241" s="3" t="str">
        <f>TEXT(Tabela1[[#This Row],[DATA]],"MMMM")</f>
        <v>agosto</v>
      </c>
      <c r="E241" s="5" t="str">
        <f>TEXT(Tabela1[[#This Row],[DATA]],"DDDD")</f>
        <v>segunda-feira</v>
      </c>
      <c r="F241" t="s">
        <v>10</v>
      </c>
    </row>
    <row r="242" spans="1:6" x14ac:dyDescent="0.25">
      <c r="A242" t="s">
        <v>14</v>
      </c>
      <c r="B242" s="2">
        <v>45895</v>
      </c>
      <c r="C242" s="3">
        <v>1331.3400000000001</v>
      </c>
      <c r="D242" s="3" t="str">
        <f>TEXT(Tabela1[[#This Row],[DATA]],"MMMM")</f>
        <v>agosto</v>
      </c>
      <c r="E242" s="5" t="str">
        <f>TEXT(Tabela1[[#This Row],[DATA]],"DDDD")</f>
        <v>terça-feira</v>
      </c>
      <c r="F242" t="s">
        <v>10</v>
      </c>
    </row>
    <row r="243" spans="1:6" x14ac:dyDescent="0.25">
      <c r="A243" t="s">
        <v>14</v>
      </c>
      <c r="B243" s="2">
        <v>45896</v>
      </c>
      <c r="C243" s="3">
        <v>1913.39</v>
      </c>
      <c r="D243" s="3" t="str">
        <f>TEXT(Tabela1[[#This Row],[DATA]],"MMMM")</f>
        <v>agosto</v>
      </c>
      <c r="E243" s="5" t="str">
        <f>TEXT(Tabela1[[#This Row],[DATA]],"DDDD")</f>
        <v>quarta-feira</v>
      </c>
      <c r="F243" t="s">
        <v>10</v>
      </c>
    </row>
    <row r="244" spans="1:6" x14ac:dyDescent="0.25">
      <c r="A244" t="s">
        <v>14</v>
      </c>
      <c r="B244" s="2">
        <v>45897</v>
      </c>
      <c r="C244" s="21">
        <v>1545</v>
      </c>
      <c r="D244" s="3" t="str">
        <f>TEXT(Tabela1[[#This Row],[DATA]],"MMMM")</f>
        <v>agosto</v>
      </c>
      <c r="E244" s="5" t="str">
        <f>TEXT(Tabela1[[#This Row],[DATA]],"DDDD")</f>
        <v>quinta-feira</v>
      </c>
      <c r="F244" t="s">
        <v>10</v>
      </c>
    </row>
    <row r="245" spans="1:6" x14ac:dyDescent="0.25">
      <c r="A245" t="s">
        <v>14</v>
      </c>
      <c r="B245" s="2">
        <v>45898</v>
      </c>
      <c r="C245" s="21">
        <v>1343.5</v>
      </c>
      <c r="D245" s="3" t="str">
        <f>TEXT(Tabela1[[#This Row],[DATA]],"MMMM")</f>
        <v>agosto</v>
      </c>
      <c r="E245" s="5" t="str">
        <f>TEXT(Tabela1[[#This Row],[DATA]],"DDDD")</f>
        <v>sexta-feira</v>
      </c>
      <c r="F245" t="s">
        <v>10</v>
      </c>
    </row>
    <row r="246" spans="1:6" x14ac:dyDescent="0.25">
      <c r="A246" t="s">
        <v>14</v>
      </c>
      <c r="B246" s="2">
        <v>45899</v>
      </c>
      <c r="C246" s="21">
        <v>1979</v>
      </c>
      <c r="D246" s="3" t="str">
        <f>TEXT(Tabela1[[#This Row],[DATA]],"MMMM")</f>
        <v>agosto</v>
      </c>
      <c r="E246" s="5" t="str">
        <f>TEXT(Tabela1[[#This Row],[DATA]],"DDDD")</f>
        <v>sábado</v>
      </c>
      <c r="F246" t="s">
        <v>10</v>
      </c>
    </row>
    <row r="247" spans="1:6" x14ac:dyDescent="0.25">
      <c r="A247" t="s">
        <v>14</v>
      </c>
      <c r="B247" s="2">
        <v>45900</v>
      </c>
      <c r="C247" s="3">
        <v>3051</v>
      </c>
      <c r="D247" s="3" t="str">
        <f>TEXT(Tabela1[[#This Row],[DATA]],"MMMM")</f>
        <v>agosto</v>
      </c>
      <c r="E247" s="5" t="str">
        <f>TEXT(Tabela1[[#This Row],[DATA]],"DDDD")</f>
        <v>domingo</v>
      </c>
      <c r="F247" t="s">
        <v>10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5F6F-41D5-45EA-8658-65D0AA55C80A}">
  <dimension ref="B1:X50"/>
  <sheetViews>
    <sheetView topLeftCell="A12" workbookViewId="0">
      <selection activeCell="M22" sqref="M22:P32"/>
    </sheetView>
  </sheetViews>
  <sheetFormatPr defaultRowHeight="15" x14ac:dyDescent="0.25"/>
  <cols>
    <col min="2" max="2" width="21.140625" bestFit="1" customWidth="1"/>
    <col min="3" max="3" width="20" bestFit="1" customWidth="1"/>
    <col min="4" max="4" width="13.42578125" bestFit="1" customWidth="1"/>
    <col min="5" max="5" width="21.140625" bestFit="1" customWidth="1"/>
    <col min="7" max="7" width="21.140625" bestFit="1" customWidth="1"/>
    <col min="8" max="9" width="10.5703125" bestFit="1" customWidth="1"/>
    <col min="10" max="10" width="10.42578125" bestFit="1" customWidth="1"/>
    <col min="11" max="11" width="21.140625" bestFit="1" customWidth="1"/>
    <col min="12" max="12" width="16" bestFit="1" customWidth="1"/>
    <col min="13" max="13" width="21.140625" bestFit="1" customWidth="1"/>
    <col min="14" max="14" width="14.140625" bestFit="1" customWidth="1"/>
    <col min="15" max="16" width="17.28515625" bestFit="1" customWidth="1"/>
    <col min="17" max="17" width="15.85546875" bestFit="1" customWidth="1"/>
  </cols>
  <sheetData>
    <row r="1" spans="2:24" x14ac:dyDescent="0.25">
      <c r="B1" s="73" t="s">
        <v>15</v>
      </c>
      <c r="C1" s="73"/>
      <c r="E1" s="73" t="s">
        <v>16</v>
      </c>
      <c r="F1" s="73"/>
    </row>
    <row r="2" spans="2:24" x14ac:dyDescent="0.25">
      <c r="B2" s="23" t="s">
        <v>6</v>
      </c>
      <c r="C2" s="24">
        <v>38514.690000000097</v>
      </c>
      <c r="E2" s="23" t="s">
        <v>6</v>
      </c>
      <c r="F2" s="24">
        <v>39687.01</v>
      </c>
      <c r="H2" s="41" t="s">
        <v>17</v>
      </c>
      <c r="I2" s="44">
        <v>45909</v>
      </c>
      <c r="J2" s="44">
        <v>45911</v>
      </c>
      <c r="K2" s="44">
        <v>45915</v>
      </c>
      <c r="L2" s="44">
        <v>45916</v>
      </c>
      <c r="M2" s="44">
        <v>45917</v>
      </c>
      <c r="N2" s="44">
        <v>45918</v>
      </c>
      <c r="O2" s="44">
        <v>45919</v>
      </c>
      <c r="P2" s="44">
        <v>45920</v>
      </c>
      <c r="Q2" s="44">
        <v>45922</v>
      </c>
      <c r="R2" s="44">
        <v>45923</v>
      </c>
      <c r="S2" s="44">
        <v>45924</v>
      </c>
      <c r="T2" s="44">
        <v>45925</v>
      </c>
      <c r="U2" s="44">
        <v>45926</v>
      </c>
      <c r="V2" s="44">
        <v>45927</v>
      </c>
      <c r="W2" s="44">
        <v>45928</v>
      </c>
      <c r="X2" s="42" t="s">
        <v>18</v>
      </c>
    </row>
    <row r="3" spans="2:24" x14ac:dyDescent="0.25">
      <c r="B3" s="23" t="s">
        <v>11</v>
      </c>
      <c r="C3" s="24">
        <v>18720.510000000017</v>
      </c>
      <c r="E3" s="23" t="s">
        <v>11</v>
      </c>
      <c r="F3" s="24">
        <v>17623.71</v>
      </c>
      <c r="H3" s="35" t="s">
        <v>19</v>
      </c>
      <c r="I3" s="26">
        <v>1045.5</v>
      </c>
      <c r="J3" s="26">
        <v>142.75</v>
      </c>
      <c r="K3" s="26">
        <v>105</v>
      </c>
      <c r="L3" s="26">
        <v>71.97</v>
      </c>
      <c r="M3" s="26">
        <v>108</v>
      </c>
      <c r="N3" s="26">
        <v>87.89</v>
      </c>
      <c r="O3" s="26">
        <v>141.66</v>
      </c>
      <c r="P3" s="26">
        <v>97.97</v>
      </c>
      <c r="Q3" s="26">
        <v>183.73999999999998</v>
      </c>
      <c r="R3" s="26">
        <v>46.879999999999995</v>
      </c>
      <c r="S3" s="26">
        <v>84.850000000000009</v>
      </c>
      <c r="T3" s="26">
        <v>117.94</v>
      </c>
      <c r="U3" s="26">
        <v>260.56</v>
      </c>
      <c r="V3" s="26">
        <v>483.65999999999997</v>
      </c>
      <c r="W3" s="26">
        <v>383.69999999999993</v>
      </c>
      <c r="X3" s="26">
        <v>3362.0699999999997</v>
      </c>
    </row>
    <row r="4" spans="2:24" x14ac:dyDescent="0.25">
      <c r="B4" s="23" t="s">
        <v>13</v>
      </c>
      <c r="C4" s="24">
        <v>40355.430000000088</v>
      </c>
      <c r="E4" s="23" t="s">
        <v>13</v>
      </c>
      <c r="F4" s="24">
        <v>40355.430000000088</v>
      </c>
      <c r="H4" s="43" t="s">
        <v>18</v>
      </c>
      <c r="I4" s="25">
        <v>1045.5</v>
      </c>
      <c r="J4" s="25">
        <v>142.75</v>
      </c>
      <c r="K4" s="25">
        <v>105</v>
      </c>
      <c r="L4" s="25">
        <v>71.97</v>
      </c>
      <c r="M4" s="25">
        <v>108</v>
      </c>
      <c r="N4" s="25">
        <v>87.89</v>
      </c>
      <c r="O4" s="25">
        <v>141.66</v>
      </c>
      <c r="P4" s="25">
        <v>97.97</v>
      </c>
      <c r="Q4" s="25">
        <v>183.73999999999998</v>
      </c>
      <c r="R4" s="25">
        <v>46.879999999999995</v>
      </c>
      <c r="S4" s="25">
        <v>84.850000000000009</v>
      </c>
      <c r="T4" s="25">
        <v>117.94</v>
      </c>
      <c r="U4" s="25">
        <v>260.56</v>
      </c>
      <c r="V4" s="25">
        <v>483.65999999999997</v>
      </c>
      <c r="W4" s="25">
        <v>383.69999999999993</v>
      </c>
      <c r="X4" s="25">
        <v>3362.0699999999997</v>
      </c>
    </row>
    <row r="5" spans="2:24" x14ac:dyDescent="0.25">
      <c r="B5" s="23" t="s">
        <v>14</v>
      </c>
      <c r="C5" s="24">
        <v>40700.500000000007</v>
      </c>
      <c r="E5" s="23" t="s">
        <v>14</v>
      </c>
      <c r="F5" s="24">
        <v>35439.19</v>
      </c>
    </row>
    <row r="6" spans="2:24" x14ac:dyDescent="0.25">
      <c r="B6" s="23" t="s">
        <v>20</v>
      </c>
      <c r="C6" s="24">
        <v>23945.740000000013</v>
      </c>
      <c r="E6" s="23" t="s">
        <v>20</v>
      </c>
      <c r="F6" s="24">
        <f xml:space="preserve"> 45721.03 - F7</f>
        <v>41488.03</v>
      </c>
    </row>
    <row r="7" spans="2:24" x14ac:dyDescent="0.25">
      <c r="B7" s="23" t="s">
        <v>21</v>
      </c>
      <c r="C7" s="24">
        <v>8000</v>
      </c>
      <c r="E7" s="23" t="s">
        <v>21</v>
      </c>
      <c r="F7" s="24">
        <v>4233</v>
      </c>
    </row>
    <row r="8" spans="2:24" x14ac:dyDescent="0.25">
      <c r="B8" s="23" t="s">
        <v>22</v>
      </c>
      <c r="C8" s="24">
        <v>47000</v>
      </c>
      <c r="E8" s="23" t="s">
        <v>23</v>
      </c>
      <c r="F8" s="24">
        <f>SUM(F2:F7)</f>
        <v>178826.37000000008</v>
      </c>
    </row>
    <row r="9" spans="2:24" x14ac:dyDescent="0.25">
      <c r="B9" s="23" t="s">
        <v>23</v>
      </c>
      <c r="C9" s="24">
        <f>SUM(C2:C8)</f>
        <v>217236.87000000023</v>
      </c>
    </row>
    <row r="11" spans="2:24" ht="21" x14ac:dyDescent="0.35">
      <c r="C11" s="25"/>
      <c r="D11" s="26"/>
      <c r="G11" s="73"/>
      <c r="H11" s="73"/>
      <c r="K11" s="73" t="s">
        <v>24</v>
      </c>
      <c r="L11" s="73"/>
      <c r="N11" s="74" t="s">
        <v>25</v>
      </c>
      <c r="O11" s="74"/>
      <c r="P11" s="74"/>
      <c r="Q11" s="74"/>
    </row>
    <row r="12" spans="2:24" ht="21" x14ac:dyDescent="0.35">
      <c r="B12" s="73" t="s">
        <v>26</v>
      </c>
      <c r="C12" s="73"/>
      <c r="G12" s="23"/>
      <c r="H12" s="24"/>
      <c r="K12" s="23" t="s">
        <v>20</v>
      </c>
      <c r="L12" s="24">
        <v>32007.700000000004</v>
      </c>
      <c r="N12" s="61" t="s">
        <v>0</v>
      </c>
      <c r="O12" s="61" t="s">
        <v>27</v>
      </c>
      <c r="P12" s="61" t="s">
        <v>28</v>
      </c>
      <c r="Q12" s="61" t="s">
        <v>29</v>
      </c>
    </row>
    <row r="13" spans="2:24" ht="21" x14ac:dyDescent="0.35">
      <c r="B13" s="23" t="s">
        <v>20</v>
      </c>
      <c r="C13" s="24">
        <v>23945.740000000013</v>
      </c>
      <c r="D13" s="26"/>
      <c r="G13" s="23"/>
      <c r="H13" s="24"/>
      <c r="K13" s="23" t="s">
        <v>21</v>
      </c>
      <c r="L13" s="24">
        <v>11778.900000000001</v>
      </c>
      <c r="N13" s="62" t="s">
        <v>6</v>
      </c>
      <c r="O13" s="63">
        <f xml:space="preserve"> 39914.8 + 1169</f>
        <v>41083.800000000003</v>
      </c>
      <c r="P13" s="64">
        <v>55000</v>
      </c>
      <c r="Q13" s="65">
        <f>P13-O13</f>
        <v>13916.199999999997</v>
      </c>
    </row>
    <row r="14" spans="2:24" ht="21" x14ac:dyDescent="0.35">
      <c r="B14" s="23" t="s">
        <v>21</v>
      </c>
      <c r="C14" s="24">
        <v>8000</v>
      </c>
      <c r="G14" s="23"/>
      <c r="H14" s="24"/>
      <c r="K14" s="23" t="s">
        <v>22</v>
      </c>
      <c r="L14" s="24">
        <v>45018</v>
      </c>
      <c r="N14" s="62" t="s">
        <v>13</v>
      </c>
      <c r="O14" s="63">
        <f>41318.85+1474.48</f>
        <v>42793.33</v>
      </c>
      <c r="P14" s="64">
        <v>50000</v>
      </c>
      <c r="Q14" s="65">
        <f>P14-O14</f>
        <v>7206.6699999999983</v>
      </c>
    </row>
    <row r="15" spans="2:24" ht="21" x14ac:dyDescent="0.35">
      <c r="B15" s="23" t="s">
        <v>22</v>
      </c>
      <c r="C15" s="24">
        <v>47000</v>
      </c>
      <c r="G15" s="23"/>
      <c r="H15" s="24"/>
      <c r="K15" s="23" t="s">
        <v>23</v>
      </c>
      <c r="L15" s="24">
        <f>SUM(L12:L14)</f>
        <v>88804.6</v>
      </c>
      <c r="N15" s="62" t="s">
        <v>14</v>
      </c>
      <c r="O15" s="63">
        <f>59678 + 1486</f>
        <v>61164</v>
      </c>
      <c r="P15" s="64">
        <v>50000</v>
      </c>
      <c r="Q15" s="66">
        <f>P15-O15</f>
        <v>-11164</v>
      </c>
    </row>
    <row r="16" spans="2:24" ht="21" x14ac:dyDescent="0.35">
      <c r="B16" s="23" t="s">
        <v>23</v>
      </c>
      <c r="C16" s="24">
        <f>SUM(C13:C15)</f>
        <v>78945.74000000002</v>
      </c>
      <c r="G16" s="23"/>
      <c r="H16" s="24"/>
      <c r="N16" s="62" t="s">
        <v>11</v>
      </c>
      <c r="O16" s="63">
        <f>20260.23 + 727.58</f>
        <v>20987.81</v>
      </c>
      <c r="P16" s="64">
        <v>23000</v>
      </c>
      <c r="Q16" s="65">
        <f>P16-O16</f>
        <v>2012.1899999999987</v>
      </c>
    </row>
    <row r="17" spans="2:17" ht="21" x14ac:dyDescent="0.35">
      <c r="G17" s="23"/>
      <c r="H17" s="24"/>
      <c r="N17" s="62" t="s">
        <v>23</v>
      </c>
      <c r="O17" s="63">
        <f>SUM(O13:O16)</f>
        <v>166028.94</v>
      </c>
      <c r="P17" s="64">
        <f>SUM(P13:P16)</f>
        <v>178000</v>
      </c>
      <c r="Q17" s="65">
        <f>P17-O17</f>
        <v>11971.059999999998</v>
      </c>
    </row>
    <row r="18" spans="2:17" x14ac:dyDescent="0.25">
      <c r="B18" s="73" t="s">
        <v>25</v>
      </c>
      <c r="C18" s="73"/>
      <c r="D18" s="73"/>
      <c r="E18" s="73"/>
    </row>
    <row r="19" spans="2:17" x14ac:dyDescent="0.25">
      <c r="B19" s="27" t="s">
        <v>0</v>
      </c>
      <c r="C19" s="27" t="s">
        <v>27</v>
      </c>
      <c r="D19" s="27" t="s">
        <v>28</v>
      </c>
      <c r="E19" s="27" t="s">
        <v>29</v>
      </c>
      <c r="G19" s="29">
        <f xml:space="preserve"> 39914.8 + 1169</f>
        <v>41083.800000000003</v>
      </c>
      <c r="H19" s="34">
        <f>G19*0.05</f>
        <v>2054.19</v>
      </c>
      <c r="I19" s="34">
        <f>G19+H19</f>
        <v>43137.990000000005</v>
      </c>
      <c r="J19" s="34">
        <f>G19*0.1</f>
        <v>4108.38</v>
      </c>
      <c r="K19" s="34">
        <f>G19+J19</f>
        <v>45192.18</v>
      </c>
    </row>
    <row r="20" spans="2:17" x14ac:dyDescent="0.25">
      <c r="B20" s="23" t="s">
        <v>6</v>
      </c>
      <c r="C20" s="29">
        <v>15828.29</v>
      </c>
      <c r="D20" s="31">
        <v>43137.990000000005</v>
      </c>
      <c r="E20" s="30">
        <f>D20-C20</f>
        <v>27309.700000000004</v>
      </c>
      <c r="G20" s="29">
        <f>41318.85+1474.48</f>
        <v>42793.33</v>
      </c>
      <c r="H20" s="34">
        <f t="shared" ref="H20:H22" si="0">G20*0.05</f>
        <v>2139.6665000000003</v>
      </c>
      <c r="I20" s="34">
        <f>G20+H20</f>
        <v>44932.996500000001</v>
      </c>
      <c r="J20" s="34">
        <f>G20*0.1</f>
        <v>4279.3330000000005</v>
      </c>
      <c r="K20" s="34">
        <f>G20+J20</f>
        <v>47072.663</v>
      </c>
    </row>
    <row r="21" spans="2:17" x14ac:dyDescent="0.25">
      <c r="B21" s="23" t="s">
        <v>13</v>
      </c>
      <c r="C21" s="29">
        <v>20969.07</v>
      </c>
      <c r="D21" s="31">
        <v>44932.996500000001</v>
      </c>
      <c r="E21" s="30">
        <f>D21-C21</f>
        <v>23963.926500000001</v>
      </c>
      <c r="G21" s="29">
        <f>59678 + 1486</f>
        <v>61164</v>
      </c>
      <c r="H21" s="34">
        <f t="shared" si="0"/>
        <v>3058.2000000000003</v>
      </c>
      <c r="I21" s="34">
        <f>G21+H21</f>
        <v>64222.2</v>
      </c>
      <c r="J21" s="34">
        <f>G21*0.1</f>
        <v>6116.4000000000005</v>
      </c>
      <c r="K21" s="34">
        <f>G21+J21</f>
        <v>67280.399999999994</v>
      </c>
    </row>
    <row r="22" spans="2:17" x14ac:dyDescent="0.25">
      <c r="B22" s="23" t="s">
        <v>14</v>
      </c>
      <c r="C22" s="29">
        <v>23397</v>
      </c>
      <c r="D22" s="31">
        <v>64222.2</v>
      </c>
      <c r="E22" s="30">
        <f>D22-C22</f>
        <v>40825.199999999997</v>
      </c>
      <c r="G22" s="29">
        <f>20260.23 + 727.58</f>
        <v>20987.81</v>
      </c>
      <c r="H22" s="34">
        <f t="shared" si="0"/>
        <v>1049.3905000000002</v>
      </c>
      <c r="I22" s="34">
        <f>G22+H22</f>
        <v>22037.200500000003</v>
      </c>
      <c r="J22" s="34">
        <f>G22*0.1</f>
        <v>2098.7810000000004</v>
      </c>
      <c r="K22" s="34">
        <f>G22+J22</f>
        <v>23086.591</v>
      </c>
      <c r="M22" s="73" t="s">
        <v>25</v>
      </c>
      <c r="N22" s="73"/>
      <c r="O22" s="73"/>
      <c r="P22" s="73"/>
    </row>
    <row r="23" spans="2:17" x14ac:dyDescent="0.25">
      <c r="B23" s="23" t="s">
        <v>11</v>
      </c>
      <c r="C23" s="29">
        <v>8111.67</v>
      </c>
      <c r="D23" s="31">
        <v>22037.200500000003</v>
      </c>
      <c r="E23" s="30">
        <f>D23-C23</f>
        <v>13925.530500000003</v>
      </c>
      <c r="M23" s="27" t="s">
        <v>0</v>
      </c>
      <c r="N23" s="27" t="s">
        <v>27</v>
      </c>
      <c r="O23" s="27" t="s">
        <v>28</v>
      </c>
      <c r="P23" s="27" t="s">
        <v>29</v>
      </c>
    </row>
    <row r="24" spans="2:17" x14ac:dyDescent="0.25">
      <c r="B24" s="23" t="s">
        <v>19</v>
      </c>
      <c r="C24" s="29">
        <v>2276.89</v>
      </c>
      <c r="D24" s="31">
        <v>11000</v>
      </c>
      <c r="E24" s="30">
        <v>0</v>
      </c>
      <c r="M24" s="45" t="s">
        <v>6</v>
      </c>
      <c r="N24" s="70">
        <f xml:space="preserve"> 39914.8 + 1169</f>
        <v>41083.800000000003</v>
      </c>
      <c r="O24" s="31">
        <v>55000</v>
      </c>
      <c r="P24" s="30">
        <f>O24-N24</f>
        <v>13916.199999999997</v>
      </c>
    </row>
    <row r="25" spans="2:17" x14ac:dyDescent="0.25">
      <c r="B25" s="23" t="s">
        <v>30</v>
      </c>
      <c r="C25" s="29">
        <v>17872.8</v>
      </c>
      <c r="D25" s="31">
        <v>28000</v>
      </c>
      <c r="E25" s="32">
        <f t="shared" ref="E25" si="1">D25-C25</f>
        <v>10127.200000000001</v>
      </c>
      <c r="M25" s="45" t="s">
        <v>13</v>
      </c>
      <c r="N25" s="70">
        <f>41318.85+1474.48</f>
        <v>42793.33</v>
      </c>
      <c r="O25" s="31">
        <v>50000</v>
      </c>
      <c r="P25" s="30">
        <f>O25-N25</f>
        <v>7206.6699999999983</v>
      </c>
    </row>
    <row r="26" spans="2:17" x14ac:dyDescent="0.25">
      <c r="B26" s="23" t="s">
        <v>21</v>
      </c>
      <c r="C26" s="24">
        <v>3028.6</v>
      </c>
      <c r="D26" s="31">
        <v>0</v>
      </c>
      <c r="E26" s="32">
        <v>0</v>
      </c>
      <c r="M26" s="45" t="s">
        <v>14</v>
      </c>
      <c r="N26" s="70">
        <f>59678 + 1486</f>
        <v>61164</v>
      </c>
      <c r="O26" s="31">
        <v>50000</v>
      </c>
      <c r="P26" s="32">
        <f>O26-N26</f>
        <v>-11164</v>
      </c>
    </row>
    <row r="27" spans="2:17" x14ac:dyDescent="0.25">
      <c r="B27" s="23" t="s">
        <v>22</v>
      </c>
      <c r="C27" s="24">
        <v>26159.96</v>
      </c>
      <c r="D27" s="31">
        <v>0</v>
      </c>
      <c r="E27" s="32">
        <v>0</v>
      </c>
      <c r="M27" s="45" t="s">
        <v>11</v>
      </c>
      <c r="N27" s="70">
        <f>20260.23 + 727.58</f>
        <v>20987.81</v>
      </c>
      <c r="O27" s="31">
        <v>23000</v>
      </c>
      <c r="P27" s="30">
        <f>O27-N27</f>
        <v>2012.1899999999987</v>
      </c>
    </row>
    <row r="28" spans="2:17" x14ac:dyDescent="0.25">
      <c r="B28" s="23" t="s">
        <v>23</v>
      </c>
      <c r="C28" s="29">
        <f>SUM(C20:C24)</f>
        <v>70582.92</v>
      </c>
      <c r="D28" s="31">
        <f>SUM(D20:D24)</f>
        <v>185330.38700000002</v>
      </c>
      <c r="E28" s="30">
        <f>D28-C28</f>
        <v>114747.46700000002</v>
      </c>
      <c r="M28" s="45" t="s">
        <v>19</v>
      </c>
      <c r="N28" s="70">
        <v>1955.9700000000012</v>
      </c>
      <c r="O28" s="31">
        <v>0</v>
      </c>
      <c r="P28" s="30">
        <v>0</v>
      </c>
    </row>
    <row r="29" spans="2:17" x14ac:dyDescent="0.25">
      <c r="M29" s="45" t="s">
        <v>30</v>
      </c>
      <c r="N29" s="70">
        <v>32007.700000000004</v>
      </c>
      <c r="O29" s="31">
        <v>28000</v>
      </c>
      <c r="P29" s="32">
        <f>O29-N29</f>
        <v>-4007.7000000000044</v>
      </c>
    </row>
    <row r="30" spans="2:17" x14ac:dyDescent="0.25">
      <c r="B30" s="73" t="s">
        <v>31</v>
      </c>
      <c r="C30" s="73"/>
      <c r="D30" s="73"/>
      <c r="E30" s="73"/>
      <c r="M30" s="45" t="s">
        <v>21</v>
      </c>
      <c r="N30" s="70">
        <v>14324.71</v>
      </c>
      <c r="O30" s="31">
        <v>12000</v>
      </c>
      <c r="P30" s="32">
        <f t="shared" ref="P30:P31" si="2">O30-N30</f>
        <v>-2324.7099999999991</v>
      </c>
    </row>
    <row r="31" spans="2:17" x14ac:dyDescent="0.25">
      <c r="B31" s="27" t="s">
        <v>0</v>
      </c>
      <c r="C31" s="27" t="s">
        <v>27</v>
      </c>
      <c r="D31" s="27" t="s">
        <v>28</v>
      </c>
      <c r="E31" s="27" t="s">
        <v>29</v>
      </c>
      <c r="M31" s="45" t="s">
        <v>22</v>
      </c>
      <c r="N31" s="70">
        <v>45018</v>
      </c>
      <c r="O31" s="31">
        <v>56000</v>
      </c>
      <c r="P31" s="30">
        <f t="shared" si="2"/>
        <v>10982</v>
      </c>
    </row>
    <row r="32" spans="2:17" x14ac:dyDescent="0.25">
      <c r="B32" s="23" t="s">
        <v>6</v>
      </c>
      <c r="C32" s="29">
        <v>10984</v>
      </c>
      <c r="D32" s="31">
        <v>9515</v>
      </c>
      <c r="E32" s="32">
        <f>D32-C32</f>
        <v>-1469</v>
      </c>
      <c r="M32" s="23" t="s">
        <v>23</v>
      </c>
      <c r="N32" s="70">
        <f>SUM(N24:N31)</f>
        <v>259335.32</v>
      </c>
      <c r="O32" s="31">
        <f>SUM(O24:O31)</f>
        <v>274000</v>
      </c>
      <c r="P32" s="30">
        <f>O32-N32</f>
        <v>14664.679999999993</v>
      </c>
    </row>
    <row r="33" spans="2:13" x14ac:dyDescent="0.25">
      <c r="B33" s="23" t="s">
        <v>13</v>
      </c>
      <c r="C33" s="29">
        <v>12996</v>
      </c>
      <c r="D33" s="31">
        <v>10059</v>
      </c>
      <c r="E33" s="32">
        <f>D33-C33</f>
        <v>-2937</v>
      </c>
    </row>
    <row r="34" spans="2:13" x14ac:dyDescent="0.25">
      <c r="B34" s="23" t="s">
        <v>14</v>
      </c>
      <c r="C34" s="29">
        <v>14918</v>
      </c>
      <c r="D34" s="31">
        <v>13096</v>
      </c>
      <c r="E34" s="32">
        <f>D34-C34</f>
        <v>-1822</v>
      </c>
    </row>
    <row r="35" spans="2:13" x14ac:dyDescent="0.25">
      <c r="B35" s="23" t="s">
        <v>11</v>
      </c>
      <c r="C35" s="29">
        <v>5428</v>
      </c>
      <c r="D35" s="31">
        <v>5093</v>
      </c>
      <c r="E35" s="32">
        <f>D35-C35</f>
        <v>-335</v>
      </c>
      <c r="F35" s="4" t="s">
        <v>12</v>
      </c>
    </row>
    <row r="37" spans="2:13" x14ac:dyDescent="0.25">
      <c r="B37" s="73" t="s">
        <v>32</v>
      </c>
      <c r="C37" s="73"/>
      <c r="D37" s="23"/>
      <c r="E37" s="23"/>
    </row>
    <row r="38" spans="2:13" x14ac:dyDescent="0.25">
      <c r="B38" s="27" t="s">
        <v>0</v>
      </c>
      <c r="C38" s="27" t="s">
        <v>28</v>
      </c>
      <c r="D38" s="27" t="s">
        <v>29</v>
      </c>
    </row>
    <row r="39" spans="2:13" x14ac:dyDescent="0.25">
      <c r="B39" s="23" t="s">
        <v>6</v>
      </c>
      <c r="C39" s="31">
        <v>43137.990000000005</v>
      </c>
      <c r="D39" s="32" t="e">
        <f>C39-#REF!</f>
        <v>#REF!</v>
      </c>
    </row>
    <row r="40" spans="2:13" x14ac:dyDescent="0.25">
      <c r="B40" s="23" t="s">
        <v>13</v>
      </c>
      <c r="C40" s="31">
        <v>44932.996500000001</v>
      </c>
      <c r="D40" s="30" t="e">
        <f>C40-#REF!</f>
        <v>#REF!</v>
      </c>
    </row>
    <row r="41" spans="2:13" x14ac:dyDescent="0.25">
      <c r="B41" s="23" t="s">
        <v>14</v>
      </c>
      <c r="C41" s="31">
        <v>64222.2</v>
      </c>
      <c r="D41" s="32" t="e">
        <f>C41-#REF!</f>
        <v>#REF!</v>
      </c>
    </row>
    <row r="42" spans="2:13" x14ac:dyDescent="0.25">
      <c r="B42" s="23" t="s">
        <v>11</v>
      </c>
      <c r="C42" s="31">
        <v>22037.200500000003</v>
      </c>
      <c r="D42" s="30" t="e">
        <f>C42-#REF!</f>
        <v>#REF!</v>
      </c>
    </row>
    <row r="44" spans="2:13" ht="24" x14ac:dyDescent="0.4">
      <c r="B44" s="72" t="s">
        <v>32</v>
      </c>
      <c r="C44" s="72"/>
    </row>
    <row r="45" spans="2:13" ht="24" x14ac:dyDescent="0.4">
      <c r="B45" s="67" t="s">
        <v>0</v>
      </c>
      <c r="C45" s="67" t="s">
        <v>28</v>
      </c>
      <c r="L45" s="72" t="s">
        <v>32</v>
      </c>
      <c r="M45" s="72"/>
    </row>
    <row r="46" spans="2:13" ht="24" x14ac:dyDescent="0.4">
      <c r="B46" s="68" t="s">
        <v>6</v>
      </c>
      <c r="C46" s="69">
        <v>45192.18</v>
      </c>
      <c r="L46" s="67" t="s">
        <v>0</v>
      </c>
      <c r="M46" s="67" t="s">
        <v>28</v>
      </c>
    </row>
    <row r="47" spans="2:13" ht="24" x14ac:dyDescent="0.4">
      <c r="B47" s="68" t="s">
        <v>13</v>
      </c>
      <c r="C47" s="69">
        <v>47072.663</v>
      </c>
      <c r="L47" s="68" t="s">
        <v>6</v>
      </c>
      <c r="M47" s="69">
        <v>43137.990000000005</v>
      </c>
    </row>
    <row r="48" spans="2:13" ht="24" x14ac:dyDescent="0.4">
      <c r="B48" s="68" t="s">
        <v>14</v>
      </c>
      <c r="C48" s="69">
        <v>67280.399999999994</v>
      </c>
      <c r="L48" s="68" t="s">
        <v>13</v>
      </c>
      <c r="M48" s="69">
        <v>44932.996500000001</v>
      </c>
    </row>
    <row r="49" spans="2:13" ht="24" x14ac:dyDescent="0.4">
      <c r="B49" s="68" t="s">
        <v>11</v>
      </c>
      <c r="C49" s="69">
        <v>23086.591</v>
      </c>
      <c r="L49" s="68" t="s">
        <v>14</v>
      </c>
      <c r="M49" s="69">
        <v>64222.2</v>
      </c>
    </row>
    <row r="50" spans="2:13" ht="24" x14ac:dyDescent="0.4">
      <c r="L50" s="68" t="s">
        <v>11</v>
      </c>
      <c r="M50" s="69">
        <v>22037.200500000003</v>
      </c>
    </row>
  </sheetData>
  <mergeCells count="12">
    <mergeCell ref="B37:C37"/>
    <mergeCell ref="B44:C44"/>
    <mergeCell ref="B1:C1"/>
    <mergeCell ref="B12:C12"/>
    <mergeCell ref="E1:F1"/>
    <mergeCell ref="B18:E18"/>
    <mergeCell ref="B30:E30"/>
    <mergeCell ref="L45:M45"/>
    <mergeCell ref="M22:P22"/>
    <mergeCell ref="G11:H11"/>
    <mergeCell ref="K11:L11"/>
    <mergeCell ref="N11:Q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15F8-8C11-4432-8DEA-D81FC82FA59F}">
  <dimension ref="A1:Y246"/>
  <sheetViews>
    <sheetView tabSelected="1" topLeftCell="A9" workbookViewId="0">
      <selection activeCell="L36" sqref="L36:R36"/>
    </sheetView>
  </sheetViews>
  <sheetFormatPr defaultRowHeight="15" x14ac:dyDescent="0.25"/>
  <cols>
    <col min="2" max="2" width="11.7109375" bestFit="1" customWidth="1"/>
    <col min="3" max="7" width="12.28515625" bestFit="1" customWidth="1"/>
    <col min="8" max="8" width="10.7109375" bestFit="1" customWidth="1"/>
    <col min="24" max="24" width="10.140625" bestFit="1" customWidth="1"/>
    <col min="25" max="25" width="14.42578125" bestFit="1" customWidth="1"/>
  </cols>
  <sheetData>
    <row r="1" spans="1:25" ht="15.75" x14ac:dyDescent="0.25">
      <c r="A1" s="6" t="s">
        <v>28</v>
      </c>
      <c r="B1" s="7">
        <v>38000</v>
      </c>
      <c r="C1" s="75" t="s">
        <v>6</v>
      </c>
      <c r="D1" s="76"/>
      <c r="E1" s="76"/>
      <c r="F1" s="76"/>
      <c r="G1" s="76"/>
      <c r="H1" s="76"/>
      <c r="N1" t="s">
        <v>6</v>
      </c>
      <c r="O1">
        <v>41000</v>
      </c>
      <c r="P1">
        <f>O1*0.05</f>
        <v>2050</v>
      </c>
      <c r="Q1">
        <f>P1+O1</f>
        <v>43050</v>
      </c>
    </row>
    <row r="2" spans="1:25" ht="14.25" customHeight="1" x14ac:dyDescent="0.25">
      <c r="B2" s="8">
        <v>0.155</v>
      </c>
      <c r="C2" s="8">
        <v>0.1</v>
      </c>
      <c r="D2" s="8">
        <v>0.111</v>
      </c>
      <c r="E2" s="8">
        <v>0.117866770512568</v>
      </c>
      <c r="F2" s="8">
        <v>0.16768</v>
      </c>
      <c r="G2" s="8">
        <v>0.17</v>
      </c>
      <c r="H2" s="8">
        <v>0.17845</v>
      </c>
      <c r="N2" t="s">
        <v>13</v>
      </c>
      <c r="O2">
        <v>41131</v>
      </c>
      <c r="P2">
        <f t="shared" ref="P2:P4" si="0">O2*0.05</f>
        <v>2056.5500000000002</v>
      </c>
      <c r="Q2">
        <f t="shared" ref="Q2:Q4" si="1">P2+O2</f>
        <v>43187.55</v>
      </c>
    </row>
    <row r="3" spans="1:25" x14ac:dyDescent="0.25">
      <c r="B3" s="9" t="s">
        <v>33</v>
      </c>
      <c r="C3" s="9" t="s">
        <v>34</v>
      </c>
      <c r="D3" s="9" t="s">
        <v>35</v>
      </c>
      <c r="E3" s="9" t="s">
        <v>36</v>
      </c>
      <c r="F3" s="9" t="s">
        <v>37</v>
      </c>
      <c r="G3" s="9" t="s">
        <v>38</v>
      </c>
      <c r="H3" s="9" t="s">
        <v>39</v>
      </c>
      <c r="N3" t="s">
        <v>14</v>
      </c>
      <c r="O3">
        <v>35439</v>
      </c>
      <c r="P3">
        <f t="shared" si="0"/>
        <v>1771.95</v>
      </c>
      <c r="Q3">
        <f t="shared" si="1"/>
        <v>37210.949999999997</v>
      </c>
      <c r="X3" s="19" t="s">
        <v>0</v>
      </c>
      <c r="Y3" s="19" t="s">
        <v>40</v>
      </c>
    </row>
    <row r="4" spans="1:25" x14ac:dyDescent="0.25">
      <c r="A4" s="10"/>
      <c r="B4" s="11">
        <f>$B$1*B2</f>
        <v>5890</v>
      </c>
      <c r="C4" s="11">
        <f t="shared" ref="C4:H4" si="2">$B$1*C2</f>
        <v>3800</v>
      </c>
      <c r="D4" s="11">
        <f t="shared" si="2"/>
        <v>4218</v>
      </c>
      <c r="E4" s="11">
        <f t="shared" si="2"/>
        <v>4478.9372794775836</v>
      </c>
      <c r="F4" s="11">
        <f t="shared" si="2"/>
        <v>6371.84</v>
      </c>
      <c r="G4" s="11">
        <f t="shared" si="2"/>
        <v>6460.0000000000009</v>
      </c>
      <c r="H4" s="11">
        <f t="shared" si="2"/>
        <v>6781.0999999999995</v>
      </c>
      <c r="N4" t="s">
        <v>11</v>
      </c>
      <c r="O4">
        <v>17624</v>
      </c>
      <c r="P4">
        <f t="shared" si="0"/>
        <v>881.2</v>
      </c>
      <c r="Q4">
        <f t="shared" si="1"/>
        <v>18505.2</v>
      </c>
      <c r="X4" s="17" t="s">
        <v>6</v>
      </c>
      <c r="Y4" s="18">
        <v>43050</v>
      </c>
    </row>
    <row r="5" spans="1:25" x14ac:dyDescent="0.25">
      <c r="A5" s="10"/>
      <c r="B5" s="12">
        <v>4</v>
      </c>
      <c r="C5" s="12">
        <v>4</v>
      </c>
      <c r="D5" s="12">
        <v>4</v>
      </c>
      <c r="E5" s="12">
        <v>4</v>
      </c>
      <c r="F5" s="12">
        <v>4</v>
      </c>
      <c r="G5" s="12">
        <v>4</v>
      </c>
      <c r="H5" s="12">
        <v>4</v>
      </c>
      <c r="X5" s="17" t="s">
        <v>13</v>
      </c>
      <c r="Y5" s="18">
        <v>43187.55</v>
      </c>
    </row>
    <row r="6" spans="1:25" x14ac:dyDescent="0.25">
      <c r="A6" s="10"/>
      <c r="B6" s="14">
        <v>1</v>
      </c>
      <c r="C6" s="14">
        <v>2</v>
      </c>
      <c r="D6" s="14">
        <v>3</v>
      </c>
      <c r="E6" s="14">
        <v>4</v>
      </c>
      <c r="F6" s="14">
        <v>5</v>
      </c>
      <c r="G6" s="14">
        <v>6</v>
      </c>
      <c r="H6" s="14">
        <v>7</v>
      </c>
      <c r="X6" s="17" t="s">
        <v>14</v>
      </c>
      <c r="Y6" s="18">
        <v>37210.949999999997</v>
      </c>
    </row>
    <row r="7" spans="1:25" x14ac:dyDescent="0.25">
      <c r="A7" s="77" t="s">
        <v>41</v>
      </c>
      <c r="B7" s="13">
        <f t="shared" ref="B7:E7" si="3">B4/B5</f>
        <v>1472.5</v>
      </c>
      <c r="C7" s="13">
        <f t="shared" si="3"/>
        <v>950</v>
      </c>
      <c r="D7" s="13">
        <f t="shared" si="3"/>
        <v>1054.5</v>
      </c>
      <c r="E7" s="13">
        <f t="shared" si="3"/>
        <v>1119.7343198693959</v>
      </c>
      <c r="F7" s="13">
        <f t="shared" ref="F7:H7" si="4">F4/F5</f>
        <v>1592.96</v>
      </c>
      <c r="G7" s="13">
        <f t="shared" si="4"/>
        <v>1615.0000000000002</v>
      </c>
      <c r="H7" s="13">
        <f t="shared" si="4"/>
        <v>1695.2749999999999</v>
      </c>
      <c r="X7" s="17" t="s">
        <v>11</v>
      </c>
      <c r="Y7" s="18">
        <v>18505.2</v>
      </c>
    </row>
    <row r="8" spans="1:25" x14ac:dyDescent="0.25">
      <c r="A8" s="78"/>
      <c r="B8" s="14">
        <v>8</v>
      </c>
      <c r="C8" s="14">
        <v>9</v>
      </c>
      <c r="D8" s="14">
        <v>10</v>
      </c>
      <c r="E8" s="14">
        <v>11</v>
      </c>
      <c r="F8" s="14">
        <v>12</v>
      </c>
      <c r="G8" s="14">
        <v>13</v>
      </c>
      <c r="H8" s="14">
        <v>14</v>
      </c>
      <c r="X8" s="19" t="s">
        <v>23</v>
      </c>
      <c r="Y8" s="20">
        <f>SUM(Y4:Y7)</f>
        <v>141953.70000000001</v>
      </c>
    </row>
    <row r="9" spans="1:25" x14ac:dyDescent="0.25">
      <c r="A9" s="15" t="s">
        <v>28</v>
      </c>
      <c r="B9" s="11">
        <f>B4/B5</f>
        <v>1472.5</v>
      </c>
      <c r="C9" s="11">
        <f t="shared" ref="C9" si="5">C4/C5</f>
        <v>950</v>
      </c>
      <c r="D9" s="11">
        <f>D4/D5</f>
        <v>1054.5</v>
      </c>
      <c r="E9" s="11">
        <f t="shared" ref="E9:H9" si="6">E4/E5</f>
        <v>1119.7343198693959</v>
      </c>
      <c r="F9" s="11">
        <f t="shared" si="6"/>
        <v>1592.96</v>
      </c>
      <c r="G9" s="11">
        <f t="shared" si="6"/>
        <v>1615.0000000000002</v>
      </c>
      <c r="H9" s="11">
        <f t="shared" si="6"/>
        <v>1695.2749999999999</v>
      </c>
    </row>
    <row r="10" spans="1:25" x14ac:dyDescent="0.25">
      <c r="A10" s="16" t="s">
        <v>41</v>
      </c>
      <c r="B10" s="14">
        <v>15</v>
      </c>
      <c r="C10" s="14">
        <v>16</v>
      </c>
      <c r="D10" s="14">
        <v>17</v>
      </c>
      <c r="E10" s="14">
        <v>18</v>
      </c>
      <c r="F10" s="14">
        <v>19</v>
      </c>
      <c r="G10" s="14">
        <v>20</v>
      </c>
      <c r="H10" s="14">
        <v>21</v>
      </c>
    </row>
    <row r="11" spans="1:25" x14ac:dyDescent="0.25">
      <c r="A11" s="15" t="s">
        <v>28</v>
      </c>
      <c r="B11" s="11">
        <f t="shared" ref="B11" si="7">B4/B5</f>
        <v>1472.5</v>
      </c>
      <c r="C11" s="11">
        <f>C4/C5</f>
        <v>950</v>
      </c>
      <c r="D11" s="11">
        <f t="shared" ref="D11:E11" si="8">D4/D5</f>
        <v>1054.5</v>
      </c>
      <c r="E11" s="11">
        <f t="shared" si="8"/>
        <v>1119.7343198693959</v>
      </c>
      <c r="F11" s="11">
        <f>F4/F5</f>
        <v>1592.96</v>
      </c>
      <c r="G11" s="11">
        <f t="shared" ref="G11" si="9">G4/G5</f>
        <v>1615.0000000000002</v>
      </c>
      <c r="H11" s="11">
        <f>H4/H5</f>
        <v>1695.2749999999999</v>
      </c>
    </row>
    <row r="12" spans="1:25" x14ac:dyDescent="0.25">
      <c r="A12" s="16" t="s">
        <v>41</v>
      </c>
      <c r="B12" s="14">
        <v>22</v>
      </c>
      <c r="C12" s="14">
        <v>23</v>
      </c>
      <c r="D12" s="14">
        <v>24</v>
      </c>
      <c r="E12" s="14">
        <v>25</v>
      </c>
      <c r="F12" s="14">
        <v>26</v>
      </c>
      <c r="G12" s="14">
        <v>27</v>
      </c>
      <c r="H12" s="14">
        <v>28</v>
      </c>
    </row>
    <row r="13" spans="1:25" x14ac:dyDescent="0.25">
      <c r="A13" s="15" t="s">
        <v>28</v>
      </c>
      <c r="B13" s="11">
        <f>B4/B5</f>
        <v>1472.5</v>
      </c>
      <c r="C13" s="11">
        <f t="shared" ref="C13" si="10">C4/C5</f>
        <v>950</v>
      </c>
      <c r="D13" s="11">
        <f>D4/D5</f>
        <v>1054.5</v>
      </c>
      <c r="E13" s="11">
        <f t="shared" ref="E13:H13" si="11">E4/E5</f>
        <v>1119.7343198693959</v>
      </c>
      <c r="F13" s="11">
        <f t="shared" si="11"/>
        <v>1592.96</v>
      </c>
      <c r="G13" s="11">
        <f t="shared" si="11"/>
        <v>1615.0000000000002</v>
      </c>
      <c r="H13" s="11">
        <f t="shared" si="11"/>
        <v>1695.2749999999999</v>
      </c>
    </row>
    <row r="14" spans="1:25" x14ac:dyDescent="0.25">
      <c r="A14" s="16" t="s">
        <v>41</v>
      </c>
      <c r="B14" s="14"/>
      <c r="C14" s="14"/>
      <c r="D14" s="14"/>
      <c r="E14" s="14"/>
      <c r="F14" s="14"/>
      <c r="G14" s="14"/>
      <c r="H14" s="14"/>
    </row>
    <row r="15" spans="1:25" x14ac:dyDescent="0.25">
      <c r="A15" s="15" t="s">
        <v>28</v>
      </c>
      <c r="B15" s="11"/>
      <c r="C15" s="11"/>
      <c r="D15" s="11"/>
      <c r="E15" s="11"/>
      <c r="F15" s="11"/>
      <c r="G15" s="11"/>
      <c r="H15" s="11"/>
    </row>
    <row r="16" spans="1:25" x14ac:dyDescent="0.25">
      <c r="A16" s="16" t="s">
        <v>41</v>
      </c>
      <c r="B16" s="14"/>
      <c r="C16" s="14"/>
      <c r="E16" s="1"/>
      <c r="F16" s="1"/>
    </row>
    <row r="17" spans="1:17" x14ac:dyDescent="0.25">
      <c r="A17" s="15" t="s">
        <v>28</v>
      </c>
      <c r="B17" s="11"/>
      <c r="C17" s="11"/>
      <c r="E17" s="1"/>
      <c r="F17" s="1"/>
      <c r="G17" s="1"/>
      <c r="K17">
        <v>1472.5</v>
      </c>
      <c r="L17">
        <v>950</v>
      </c>
      <c r="M17">
        <v>1054.5</v>
      </c>
      <c r="N17">
        <v>1119.7343198693959</v>
      </c>
      <c r="O17">
        <v>1592.96</v>
      </c>
      <c r="P17">
        <v>1615.0000000000002</v>
      </c>
      <c r="Q17">
        <v>1695.2749999999999</v>
      </c>
    </row>
    <row r="18" spans="1:17" x14ac:dyDescent="0.25">
      <c r="A18" s="16" t="s">
        <v>42</v>
      </c>
      <c r="B18" s="7">
        <f>SUM(B7:H7,B9:H9,B11:H11,B13:H13,B15:H15,B17:C17)</f>
        <v>37999.877279477587</v>
      </c>
      <c r="F18" s="1"/>
    </row>
    <row r="20" spans="1:17" ht="15.75" x14ac:dyDescent="0.25">
      <c r="A20" s="6" t="s">
        <v>28</v>
      </c>
      <c r="B20" s="7">
        <v>100000</v>
      </c>
      <c r="C20" s="75" t="s">
        <v>13</v>
      </c>
      <c r="D20" s="76"/>
      <c r="E20" s="76"/>
      <c r="F20" s="76"/>
      <c r="G20" s="76"/>
      <c r="H20" s="76"/>
    </row>
    <row r="21" spans="1:17" x14ac:dyDescent="0.25">
      <c r="B21" s="8">
        <v>0.155</v>
      </c>
      <c r="C21" s="8">
        <v>0.1</v>
      </c>
      <c r="D21" s="8">
        <v>0.111</v>
      </c>
      <c r="E21" s="8">
        <v>0.117866770512568</v>
      </c>
      <c r="F21" s="8">
        <v>0.16768</v>
      </c>
      <c r="G21" s="8">
        <v>0.17</v>
      </c>
      <c r="H21" s="8">
        <v>0.17845</v>
      </c>
    </row>
    <row r="22" spans="1:17" x14ac:dyDescent="0.25">
      <c r="B22" s="9" t="s">
        <v>33</v>
      </c>
      <c r="C22" s="9" t="s">
        <v>34</v>
      </c>
      <c r="D22" s="9" t="s">
        <v>35</v>
      </c>
      <c r="E22" s="9" t="s">
        <v>36</v>
      </c>
      <c r="F22" s="9" t="s">
        <v>37</v>
      </c>
      <c r="G22" s="9" t="s">
        <v>38</v>
      </c>
      <c r="H22" s="9" t="s">
        <v>39</v>
      </c>
    </row>
    <row r="23" spans="1:17" x14ac:dyDescent="0.25">
      <c r="A23" s="10"/>
      <c r="B23" s="11">
        <f>$B$20*B21</f>
        <v>15500</v>
      </c>
      <c r="C23" s="11">
        <f t="shared" ref="C23:D23" si="12">$B$20*C21</f>
        <v>10000</v>
      </c>
      <c r="D23" s="11">
        <f t="shared" si="12"/>
        <v>11100</v>
      </c>
      <c r="E23" s="11">
        <f>$B$20*E21</f>
        <v>11786.6770512568</v>
      </c>
      <c r="F23" s="11">
        <f>$B$20*F21</f>
        <v>16768</v>
      </c>
      <c r="G23" s="11">
        <f>$B$20*G21</f>
        <v>17000</v>
      </c>
      <c r="H23" s="11">
        <f>$B$20*H21</f>
        <v>17845</v>
      </c>
    </row>
    <row r="24" spans="1:17" x14ac:dyDescent="0.25">
      <c r="A24" s="10"/>
      <c r="B24" s="12">
        <v>4</v>
      </c>
      <c r="C24" s="12">
        <v>4</v>
      </c>
      <c r="D24" s="12">
        <v>4</v>
      </c>
      <c r="E24" s="12">
        <v>4</v>
      </c>
      <c r="F24" s="12">
        <v>4</v>
      </c>
      <c r="G24" s="12">
        <v>4</v>
      </c>
      <c r="H24" s="12">
        <v>4</v>
      </c>
    </row>
    <row r="25" spans="1:17" x14ac:dyDescent="0.25">
      <c r="A25" s="10"/>
      <c r="B25" s="14">
        <v>1</v>
      </c>
      <c r="C25" s="14">
        <v>2</v>
      </c>
      <c r="D25" s="14">
        <v>3</v>
      </c>
      <c r="E25" s="14">
        <v>4</v>
      </c>
      <c r="F25" s="14">
        <v>5</v>
      </c>
      <c r="G25" s="14">
        <v>6</v>
      </c>
      <c r="H25" s="14">
        <v>7</v>
      </c>
    </row>
    <row r="26" spans="1:17" x14ac:dyDescent="0.25">
      <c r="A26" s="77" t="s">
        <v>41</v>
      </c>
      <c r="B26" s="13">
        <f t="shared" ref="B26:H26" si="13">B23/B24</f>
        <v>3875</v>
      </c>
      <c r="C26" s="13">
        <f t="shared" si="13"/>
        <v>2500</v>
      </c>
      <c r="D26" s="13">
        <f t="shared" si="13"/>
        <v>2775</v>
      </c>
      <c r="E26" s="13">
        <f t="shared" si="13"/>
        <v>2946.6692628142</v>
      </c>
      <c r="F26" s="13">
        <f t="shared" si="13"/>
        <v>4192</v>
      </c>
      <c r="G26" s="13">
        <f t="shared" si="13"/>
        <v>4250</v>
      </c>
      <c r="H26" s="13">
        <f t="shared" si="13"/>
        <v>4461.25</v>
      </c>
    </row>
    <row r="27" spans="1:17" x14ac:dyDescent="0.25">
      <c r="A27" s="78"/>
      <c r="B27" s="14">
        <v>8</v>
      </c>
      <c r="C27" s="14">
        <v>9</v>
      </c>
      <c r="D27" s="14">
        <v>10</v>
      </c>
      <c r="E27" s="14">
        <v>11</v>
      </c>
      <c r="F27" s="14">
        <v>12</v>
      </c>
      <c r="G27" s="14">
        <v>13</v>
      </c>
      <c r="H27" s="14">
        <v>14</v>
      </c>
    </row>
    <row r="28" spans="1:17" x14ac:dyDescent="0.25">
      <c r="A28" s="15" t="s">
        <v>28</v>
      </c>
      <c r="B28" s="11">
        <f>B23/B24</f>
        <v>3875</v>
      </c>
      <c r="C28" s="11">
        <f t="shared" ref="C28" si="14">C23/C24</f>
        <v>2500</v>
      </c>
      <c r="D28" s="11">
        <f>D23/D24</f>
        <v>2775</v>
      </c>
      <c r="E28" s="11">
        <f t="shared" ref="E28:H28" si="15">E23/E24</f>
        <v>2946.6692628142</v>
      </c>
      <c r="F28" s="11">
        <f t="shared" si="15"/>
        <v>4192</v>
      </c>
      <c r="G28" s="11">
        <f t="shared" si="15"/>
        <v>4250</v>
      </c>
      <c r="H28" s="11">
        <f t="shared" si="15"/>
        <v>4461.25</v>
      </c>
    </row>
    <row r="29" spans="1:17" x14ac:dyDescent="0.25">
      <c r="A29" s="16" t="s">
        <v>41</v>
      </c>
      <c r="B29" s="14">
        <v>15</v>
      </c>
      <c r="C29" s="14">
        <v>16</v>
      </c>
      <c r="D29" s="14">
        <v>17</v>
      </c>
      <c r="E29" s="14">
        <v>18</v>
      </c>
      <c r="F29" s="14">
        <v>19</v>
      </c>
      <c r="G29" s="14">
        <v>20</v>
      </c>
      <c r="H29" s="14">
        <v>21</v>
      </c>
    </row>
    <row r="30" spans="1:17" x14ac:dyDescent="0.25">
      <c r="A30" s="15" t="s">
        <v>28</v>
      </c>
      <c r="B30" s="11">
        <f t="shared" ref="B30" si="16">B23/B24</f>
        <v>3875</v>
      </c>
      <c r="C30" s="11">
        <f>C23/C24</f>
        <v>2500</v>
      </c>
      <c r="D30" s="11">
        <f t="shared" ref="D30:E30" si="17">D23/D24</f>
        <v>2775</v>
      </c>
      <c r="E30" s="11">
        <f t="shared" si="17"/>
        <v>2946.6692628142</v>
      </c>
      <c r="F30" s="11">
        <f>F23/F24</f>
        <v>4192</v>
      </c>
      <c r="G30" s="11">
        <f t="shared" ref="G30" si="18">G23/G24</f>
        <v>4250</v>
      </c>
      <c r="H30" s="11">
        <f>H23/H24</f>
        <v>4461.25</v>
      </c>
    </row>
    <row r="31" spans="1:17" x14ac:dyDescent="0.25">
      <c r="A31" s="16" t="s">
        <v>41</v>
      </c>
      <c r="B31" s="14">
        <v>22</v>
      </c>
      <c r="C31" s="14">
        <v>23</v>
      </c>
      <c r="D31" s="14">
        <v>24</v>
      </c>
      <c r="E31" s="14">
        <v>25</v>
      </c>
      <c r="F31" s="14">
        <v>26</v>
      </c>
      <c r="G31" s="14">
        <v>27</v>
      </c>
      <c r="H31" s="14">
        <v>28</v>
      </c>
    </row>
    <row r="32" spans="1:17" x14ac:dyDescent="0.25">
      <c r="A32" s="15" t="s">
        <v>28</v>
      </c>
      <c r="B32" s="11">
        <f>B23/B24</f>
        <v>3875</v>
      </c>
      <c r="C32" s="11">
        <f t="shared" ref="C32" si="19">C23/C24</f>
        <v>2500</v>
      </c>
      <c r="D32" s="11">
        <f>D23/D24</f>
        <v>2775</v>
      </c>
      <c r="E32" s="11">
        <f t="shared" ref="E32:H32" si="20">E23/E24</f>
        <v>2946.6692628142</v>
      </c>
      <c r="F32" s="11">
        <f t="shared" si="20"/>
        <v>4192</v>
      </c>
      <c r="G32" s="11">
        <f t="shared" si="20"/>
        <v>4250</v>
      </c>
      <c r="H32" s="11">
        <f t="shared" si="20"/>
        <v>4461.25</v>
      </c>
    </row>
    <row r="33" spans="1:18" x14ac:dyDescent="0.25">
      <c r="A33" s="16" t="s">
        <v>41</v>
      </c>
      <c r="B33" s="14"/>
      <c r="C33" s="14"/>
      <c r="D33" s="14"/>
      <c r="E33" s="14"/>
      <c r="F33" s="14"/>
      <c r="G33" s="14"/>
      <c r="H33" s="14"/>
    </row>
    <row r="34" spans="1:18" x14ac:dyDescent="0.25">
      <c r="A34" s="15" t="s">
        <v>28</v>
      </c>
      <c r="B34" s="11"/>
      <c r="C34" s="11"/>
      <c r="D34" s="11"/>
      <c r="E34" s="11"/>
      <c r="F34" s="11"/>
      <c r="G34" s="11"/>
      <c r="H34" s="11"/>
    </row>
    <row r="35" spans="1:18" x14ac:dyDescent="0.25">
      <c r="A35" s="16" t="s">
        <v>41</v>
      </c>
      <c r="B35" s="14"/>
      <c r="C35" s="14"/>
      <c r="E35" s="1"/>
      <c r="F35" s="1"/>
    </row>
    <row r="36" spans="1:18" x14ac:dyDescent="0.25">
      <c r="A36" s="15" t="s">
        <v>28</v>
      </c>
      <c r="B36" s="11"/>
      <c r="C36" s="11"/>
      <c r="E36" s="1"/>
      <c r="F36" s="1"/>
      <c r="G36" s="1"/>
      <c r="L36">
        <v>3875</v>
      </c>
      <c r="M36">
        <v>2500</v>
      </c>
      <c r="N36">
        <v>2775</v>
      </c>
      <c r="O36">
        <v>2946.6692628142</v>
      </c>
      <c r="P36">
        <v>4192</v>
      </c>
      <c r="Q36">
        <v>4250</v>
      </c>
      <c r="R36">
        <v>4461.25</v>
      </c>
    </row>
    <row r="37" spans="1:18" x14ac:dyDescent="0.25">
      <c r="A37" s="16" t="s">
        <v>42</v>
      </c>
      <c r="B37" s="7">
        <f>SUM(B26:H26,B28:H28,B30:H30,B32:H32,B34:H34,B36:C36)</f>
        <v>99999.677051256804</v>
      </c>
      <c r="F37" s="1"/>
    </row>
    <row r="39" spans="1:18" ht="15.75" x14ac:dyDescent="0.25">
      <c r="A39" s="6" t="s">
        <v>28</v>
      </c>
      <c r="B39" s="7">
        <v>48000</v>
      </c>
      <c r="C39" s="75" t="s">
        <v>14</v>
      </c>
      <c r="D39" s="76"/>
      <c r="E39" s="76"/>
      <c r="F39" s="76"/>
      <c r="G39" s="76"/>
      <c r="H39" s="76"/>
    </row>
    <row r="40" spans="1:18" x14ac:dyDescent="0.25">
      <c r="B40" s="8">
        <v>0.155</v>
      </c>
      <c r="C40" s="8">
        <v>0.1</v>
      </c>
      <c r="D40" s="8">
        <v>0.111</v>
      </c>
      <c r="E40" s="8">
        <v>0.117866770512568</v>
      </c>
      <c r="F40" s="8">
        <v>0.16768</v>
      </c>
      <c r="G40" s="8">
        <v>0.17</v>
      </c>
      <c r="H40" s="8">
        <v>0.17845</v>
      </c>
    </row>
    <row r="41" spans="1:18" x14ac:dyDescent="0.25">
      <c r="B41" s="9" t="s">
        <v>33</v>
      </c>
      <c r="C41" s="9" t="s">
        <v>34</v>
      </c>
      <c r="D41" s="9" t="s">
        <v>35</v>
      </c>
      <c r="E41" s="9" t="s">
        <v>36</v>
      </c>
      <c r="F41" s="9" t="s">
        <v>37</v>
      </c>
      <c r="G41" s="9" t="s">
        <v>38</v>
      </c>
      <c r="H41" s="9" t="s">
        <v>39</v>
      </c>
    </row>
    <row r="42" spans="1:18" x14ac:dyDescent="0.25">
      <c r="A42" s="10"/>
      <c r="B42" s="11">
        <f>$B$39*B40</f>
        <v>7440</v>
      </c>
      <c r="C42" s="11">
        <f t="shared" ref="C42:H42" si="21">$B$39*C40</f>
        <v>4800</v>
      </c>
      <c r="D42" s="11">
        <f t="shared" si="21"/>
        <v>5328</v>
      </c>
      <c r="E42" s="11">
        <f t="shared" si="21"/>
        <v>5657.6049846032638</v>
      </c>
      <c r="F42" s="11">
        <f t="shared" si="21"/>
        <v>8048.6399999999994</v>
      </c>
      <c r="G42" s="11">
        <f t="shared" si="21"/>
        <v>8160.0000000000009</v>
      </c>
      <c r="H42" s="11">
        <f t="shared" si="21"/>
        <v>8565.6</v>
      </c>
    </row>
    <row r="43" spans="1:18" x14ac:dyDescent="0.25">
      <c r="A43" s="10"/>
      <c r="B43" s="12">
        <v>4</v>
      </c>
      <c r="C43" s="12">
        <v>4</v>
      </c>
      <c r="D43" s="12">
        <v>4</v>
      </c>
      <c r="E43" s="12">
        <v>4</v>
      </c>
      <c r="F43" s="12">
        <v>4</v>
      </c>
      <c r="G43" s="12">
        <v>4</v>
      </c>
      <c r="H43" s="12">
        <v>4</v>
      </c>
    </row>
    <row r="44" spans="1:18" x14ac:dyDescent="0.25">
      <c r="A44" s="10"/>
      <c r="B44" s="14">
        <v>1</v>
      </c>
      <c r="C44" s="14">
        <v>2</v>
      </c>
      <c r="D44" s="14">
        <v>3</v>
      </c>
      <c r="E44" s="14">
        <v>4</v>
      </c>
      <c r="F44" s="14">
        <v>5</v>
      </c>
      <c r="G44" s="14">
        <v>6</v>
      </c>
      <c r="H44" s="14">
        <v>7</v>
      </c>
    </row>
    <row r="45" spans="1:18" x14ac:dyDescent="0.25">
      <c r="A45" s="77" t="s">
        <v>41</v>
      </c>
      <c r="B45" s="13">
        <f t="shared" ref="B45:H45" si="22">B42/B43</f>
        <v>1860</v>
      </c>
      <c r="C45" s="13">
        <f t="shared" si="22"/>
        <v>1200</v>
      </c>
      <c r="D45" s="13">
        <f t="shared" si="22"/>
        <v>1332</v>
      </c>
      <c r="E45" s="13">
        <f t="shared" si="22"/>
        <v>1414.401246150816</v>
      </c>
      <c r="F45" s="13">
        <f t="shared" si="22"/>
        <v>2012.1599999999999</v>
      </c>
      <c r="G45" s="13">
        <f t="shared" si="22"/>
        <v>2040.0000000000002</v>
      </c>
      <c r="H45" s="13">
        <f t="shared" si="22"/>
        <v>2141.4</v>
      </c>
    </row>
    <row r="46" spans="1:18" x14ac:dyDescent="0.25">
      <c r="A46" s="78"/>
      <c r="B46" s="14">
        <v>8</v>
      </c>
      <c r="C46" s="14">
        <v>9</v>
      </c>
      <c r="D46" s="14">
        <v>10</v>
      </c>
      <c r="E46" s="14">
        <v>11</v>
      </c>
      <c r="F46" s="14">
        <v>12</v>
      </c>
      <c r="G46" s="14">
        <v>13</v>
      </c>
      <c r="H46" s="14">
        <v>14</v>
      </c>
    </row>
    <row r="47" spans="1:18" x14ac:dyDescent="0.25">
      <c r="A47" s="15" t="s">
        <v>28</v>
      </c>
      <c r="B47" s="11">
        <f>B42/B43</f>
        <v>1860</v>
      </c>
      <c r="C47" s="11">
        <f t="shared" ref="C47" si="23">C42/C43</f>
        <v>1200</v>
      </c>
      <c r="D47" s="11">
        <f>D42/D43</f>
        <v>1332</v>
      </c>
      <c r="E47" s="11">
        <f t="shared" ref="E47:H47" si="24">E42/E43</f>
        <v>1414.401246150816</v>
      </c>
      <c r="F47" s="11">
        <f t="shared" si="24"/>
        <v>2012.1599999999999</v>
      </c>
      <c r="G47" s="11">
        <f t="shared" si="24"/>
        <v>2040.0000000000002</v>
      </c>
      <c r="H47" s="11">
        <f t="shared" si="24"/>
        <v>2141.4</v>
      </c>
    </row>
    <row r="48" spans="1:18" x14ac:dyDescent="0.25">
      <c r="A48" s="16" t="s">
        <v>41</v>
      </c>
      <c r="B48" s="14">
        <v>15</v>
      </c>
      <c r="C48" s="14">
        <v>16</v>
      </c>
      <c r="D48" s="14">
        <v>17</v>
      </c>
      <c r="E48" s="14">
        <v>18</v>
      </c>
      <c r="F48" s="14">
        <v>19</v>
      </c>
      <c r="G48" s="14">
        <v>20</v>
      </c>
      <c r="H48" s="14">
        <v>21</v>
      </c>
    </row>
    <row r="49" spans="1:19" x14ac:dyDescent="0.25">
      <c r="A49" s="15" t="s">
        <v>28</v>
      </c>
      <c r="B49" s="11">
        <f t="shared" ref="B49" si="25">B42/B43</f>
        <v>1860</v>
      </c>
      <c r="C49" s="11">
        <f>C42/C43</f>
        <v>1200</v>
      </c>
      <c r="D49" s="11">
        <f t="shared" ref="D49:E49" si="26">D42/D43</f>
        <v>1332</v>
      </c>
      <c r="E49" s="11">
        <f t="shared" si="26"/>
        <v>1414.401246150816</v>
      </c>
      <c r="F49" s="11">
        <f>F42/F43</f>
        <v>2012.1599999999999</v>
      </c>
      <c r="G49" s="11">
        <f t="shared" ref="G49" si="27">G42/G43</f>
        <v>2040.0000000000002</v>
      </c>
      <c r="H49" s="11">
        <f>H42/H43</f>
        <v>2141.4</v>
      </c>
    </row>
    <row r="50" spans="1:19" x14ac:dyDescent="0.25">
      <c r="A50" s="16" t="s">
        <v>41</v>
      </c>
      <c r="B50" s="14">
        <v>22</v>
      </c>
      <c r="C50" s="14">
        <v>23</v>
      </c>
      <c r="D50" s="14">
        <v>24</v>
      </c>
      <c r="E50" s="14">
        <v>25</v>
      </c>
      <c r="F50" s="14">
        <v>26</v>
      </c>
      <c r="G50" s="14">
        <v>27</v>
      </c>
      <c r="H50" s="14">
        <v>28</v>
      </c>
    </row>
    <row r="51" spans="1:19" x14ac:dyDescent="0.25">
      <c r="A51" s="15" t="s">
        <v>28</v>
      </c>
      <c r="B51" s="11">
        <f>B42/B43</f>
        <v>1860</v>
      </c>
      <c r="C51" s="11">
        <f t="shared" ref="C51" si="28">C42/C43</f>
        <v>1200</v>
      </c>
      <c r="D51" s="11">
        <f>D42/D43</f>
        <v>1332</v>
      </c>
      <c r="E51" s="11">
        <f t="shared" ref="E51:H51" si="29">E42/E43</f>
        <v>1414.401246150816</v>
      </c>
      <c r="F51" s="11">
        <f t="shared" si="29"/>
        <v>2012.1599999999999</v>
      </c>
      <c r="G51" s="11">
        <f t="shared" si="29"/>
        <v>2040.0000000000002</v>
      </c>
      <c r="H51" s="11">
        <f t="shared" si="29"/>
        <v>2141.4</v>
      </c>
    </row>
    <row r="52" spans="1:19" x14ac:dyDescent="0.25">
      <c r="A52" s="16" t="s">
        <v>41</v>
      </c>
      <c r="B52" s="14"/>
      <c r="C52" s="14"/>
      <c r="D52" s="14"/>
      <c r="E52" s="14"/>
      <c r="F52" s="14"/>
      <c r="G52" s="14"/>
      <c r="H52" s="14"/>
    </row>
    <row r="53" spans="1:19" x14ac:dyDescent="0.25">
      <c r="A53" s="15" t="s">
        <v>28</v>
      </c>
      <c r="B53" s="11"/>
      <c r="C53" s="11"/>
      <c r="D53" s="11"/>
      <c r="E53" s="11"/>
      <c r="F53" s="11"/>
      <c r="G53" s="11"/>
      <c r="H53" s="11"/>
    </row>
    <row r="54" spans="1:19" ht="14.25" customHeight="1" x14ac:dyDescent="0.25">
      <c r="A54" s="16" t="s">
        <v>41</v>
      </c>
      <c r="B54" s="14"/>
      <c r="C54" s="14"/>
      <c r="E54" s="1"/>
      <c r="F54" s="1"/>
      <c r="M54">
        <v>1860</v>
      </c>
      <c r="N54">
        <v>1200</v>
      </c>
      <c r="O54">
        <v>1332</v>
      </c>
      <c r="P54">
        <v>1414.401246150816</v>
      </c>
      <c r="Q54">
        <v>2012.1599999999999</v>
      </c>
      <c r="R54">
        <v>2040.0000000000002</v>
      </c>
      <c r="S54">
        <v>2141.4</v>
      </c>
    </row>
    <row r="55" spans="1:19" x14ac:dyDescent="0.25">
      <c r="A55" s="15" t="s">
        <v>28</v>
      </c>
      <c r="B55" s="11"/>
      <c r="C55" s="11"/>
      <c r="E55" s="1"/>
      <c r="F55" s="1"/>
      <c r="G55" s="1"/>
    </row>
    <row r="56" spans="1:19" x14ac:dyDescent="0.25">
      <c r="A56" s="16" t="s">
        <v>42</v>
      </c>
      <c r="B56" s="7">
        <f>SUM(B45:H45,B47:H47,B49:H49,B51:H51,B53:H53,B55:C55)</f>
        <v>47999.844984603267</v>
      </c>
      <c r="F56" s="1"/>
    </row>
    <row r="58" spans="1:19" ht="15.75" x14ac:dyDescent="0.25">
      <c r="A58" s="6" t="s">
        <v>28</v>
      </c>
      <c r="B58" s="7">
        <v>18000</v>
      </c>
      <c r="C58" s="75" t="s">
        <v>11</v>
      </c>
      <c r="D58" s="76"/>
      <c r="E58" s="76"/>
      <c r="F58" s="76"/>
      <c r="G58" s="76"/>
      <c r="H58" s="76"/>
    </row>
    <row r="59" spans="1:19" x14ac:dyDescent="0.25">
      <c r="B59" s="8">
        <v>0.155</v>
      </c>
      <c r="C59" s="8">
        <v>0.1</v>
      </c>
      <c r="D59" s="8">
        <v>0.111</v>
      </c>
      <c r="E59" s="8">
        <v>0.117866770512568</v>
      </c>
      <c r="F59" s="8">
        <v>0.16768</v>
      </c>
      <c r="G59" s="8">
        <v>0.17</v>
      </c>
      <c r="H59" s="8">
        <v>0.17845</v>
      </c>
    </row>
    <row r="60" spans="1:19" x14ac:dyDescent="0.25">
      <c r="B60" s="9" t="s">
        <v>33</v>
      </c>
      <c r="C60" s="9" t="s">
        <v>34</v>
      </c>
      <c r="D60" s="9" t="s">
        <v>35</v>
      </c>
      <c r="E60" s="9" t="s">
        <v>36</v>
      </c>
      <c r="F60" s="9" t="s">
        <v>37</v>
      </c>
      <c r="G60" s="9" t="s">
        <v>38</v>
      </c>
      <c r="H60" s="9" t="s">
        <v>39</v>
      </c>
    </row>
    <row r="61" spans="1:19" x14ac:dyDescent="0.25">
      <c r="A61" s="10"/>
      <c r="B61" s="11">
        <f>$B$58*B59</f>
        <v>2790</v>
      </c>
      <c r="C61" s="11">
        <f t="shared" ref="C61:H61" si="30">$B$58*C59</f>
        <v>1800</v>
      </c>
      <c r="D61" s="11">
        <f t="shared" si="30"/>
        <v>1998</v>
      </c>
      <c r="E61" s="11">
        <f t="shared" si="30"/>
        <v>2121.6018692262242</v>
      </c>
      <c r="F61" s="11">
        <f t="shared" si="30"/>
        <v>3018.24</v>
      </c>
      <c r="G61" s="11">
        <f t="shared" si="30"/>
        <v>3060</v>
      </c>
      <c r="H61" s="11">
        <f t="shared" si="30"/>
        <v>3212.1</v>
      </c>
    </row>
    <row r="62" spans="1:19" x14ac:dyDescent="0.25">
      <c r="A62" s="10"/>
      <c r="B62" s="12">
        <v>4</v>
      </c>
      <c r="C62" s="12">
        <v>4</v>
      </c>
      <c r="D62" s="12">
        <v>4</v>
      </c>
      <c r="E62" s="12">
        <v>4</v>
      </c>
      <c r="F62" s="12">
        <v>4</v>
      </c>
      <c r="G62" s="12">
        <v>4</v>
      </c>
      <c r="H62" s="12">
        <v>4</v>
      </c>
    </row>
    <row r="63" spans="1:19" x14ac:dyDescent="0.25">
      <c r="A63" s="10"/>
      <c r="B63" s="14">
        <v>1</v>
      </c>
      <c r="C63" s="14">
        <v>2</v>
      </c>
      <c r="D63" s="14">
        <v>3</v>
      </c>
      <c r="E63" s="14">
        <v>4</v>
      </c>
      <c r="F63" s="14">
        <v>5</v>
      </c>
      <c r="G63" s="14">
        <v>6</v>
      </c>
      <c r="H63" s="14">
        <v>7</v>
      </c>
    </row>
    <row r="64" spans="1:19" x14ac:dyDescent="0.25">
      <c r="A64" s="77" t="s">
        <v>41</v>
      </c>
      <c r="B64" s="13">
        <f t="shared" ref="B64:H64" si="31">B61/B62</f>
        <v>697.5</v>
      </c>
      <c r="C64" s="13">
        <f t="shared" si="31"/>
        <v>450</v>
      </c>
      <c r="D64" s="13">
        <f t="shared" si="31"/>
        <v>499.5</v>
      </c>
      <c r="E64" s="13">
        <f t="shared" si="31"/>
        <v>530.40046730655604</v>
      </c>
      <c r="F64" s="13">
        <f t="shared" si="31"/>
        <v>754.56</v>
      </c>
      <c r="G64" s="13">
        <f t="shared" si="31"/>
        <v>765</v>
      </c>
      <c r="H64" s="13">
        <f t="shared" si="31"/>
        <v>803.02499999999998</v>
      </c>
    </row>
    <row r="65" spans="1:18" x14ac:dyDescent="0.25">
      <c r="A65" s="78"/>
      <c r="B65" s="14">
        <v>8</v>
      </c>
      <c r="C65" s="14">
        <v>9</v>
      </c>
      <c r="D65" s="14">
        <v>10</v>
      </c>
      <c r="E65" s="14">
        <v>11</v>
      </c>
      <c r="F65" s="14">
        <v>12</v>
      </c>
      <c r="G65" s="14">
        <v>13</v>
      </c>
      <c r="H65" s="14">
        <v>14</v>
      </c>
    </row>
    <row r="66" spans="1:18" x14ac:dyDescent="0.25">
      <c r="A66" s="15" t="s">
        <v>28</v>
      </c>
      <c r="B66" s="11">
        <f>B61/B62</f>
        <v>697.5</v>
      </c>
      <c r="C66" s="11">
        <f t="shared" ref="C66" si="32">C61/C62</f>
        <v>450</v>
      </c>
      <c r="D66" s="11">
        <f>D61/D62</f>
        <v>499.5</v>
      </c>
      <c r="E66" s="11">
        <f t="shared" ref="E66:H66" si="33">E61/E62</f>
        <v>530.40046730655604</v>
      </c>
      <c r="F66" s="11">
        <f t="shared" si="33"/>
        <v>754.56</v>
      </c>
      <c r="G66" s="11">
        <f t="shared" si="33"/>
        <v>765</v>
      </c>
      <c r="H66" s="11">
        <f t="shared" si="33"/>
        <v>803.02499999999998</v>
      </c>
    </row>
    <row r="67" spans="1:18" x14ac:dyDescent="0.25">
      <c r="A67" s="16" t="s">
        <v>41</v>
      </c>
      <c r="B67" s="14">
        <v>15</v>
      </c>
      <c r="C67" s="14">
        <v>16</v>
      </c>
      <c r="D67" s="14">
        <v>17</v>
      </c>
      <c r="E67" s="14">
        <v>18</v>
      </c>
      <c r="F67" s="14">
        <v>19</v>
      </c>
      <c r="G67" s="14">
        <v>20</v>
      </c>
      <c r="H67" s="14">
        <v>21</v>
      </c>
    </row>
    <row r="68" spans="1:18" x14ac:dyDescent="0.25">
      <c r="A68" s="15" t="s">
        <v>28</v>
      </c>
      <c r="B68" s="11">
        <f t="shared" ref="B68" si="34">B61/B62</f>
        <v>697.5</v>
      </c>
      <c r="C68" s="11">
        <f>C61/C62</f>
        <v>450</v>
      </c>
      <c r="D68" s="11">
        <f t="shared" ref="D68:E68" si="35">D61/D62</f>
        <v>499.5</v>
      </c>
      <c r="E68" s="11">
        <f t="shared" si="35"/>
        <v>530.40046730655604</v>
      </c>
      <c r="F68" s="11">
        <f>F61/F62</f>
        <v>754.56</v>
      </c>
      <c r="G68" s="11">
        <f t="shared" ref="G68" si="36">G61/G62</f>
        <v>765</v>
      </c>
      <c r="H68" s="11">
        <f>H61/H62</f>
        <v>803.02499999999998</v>
      </c>
    </row>
    <row r="69" spans="1:18" x14ac:dyDescent="0.25">
      <c r="A69" s="16" t="s">
        <v>41</v>
      </c>
      <c r="B69" s="14">
        <v>22</v>
      </c>
      <c r="C69" s="14">
        <v>23</v>
      </c>
      <c r="D69" s="14">
        <v>24</v>
      </c>
      <c r="E69" s="14">
        <v>25</v>
      </c>
      <c r="F69" s="14">
        <v>26</v>
      </c>
      <c r="G69" s="14">
        <v>27</v>
      </c>
      <c r="H69" s="14">
        <v>28</v>
      </c>
    </row>
    <row r="70" spans="1:18" x14ac:dyDescent="0.25">
      <c r="A70" s="15" t="s">
        <v>28</v>
      </c>
      <c r="B70" s="11">
        <f>B61/B62</f>
        <v>697.5</v>
      </c>
      <c r="C70" s="11">
        <f t="shared" ref="C70" si="37">C61/C62</f>
        <v>450</v>
      </c>
      <c r="D70" s="11">
        <f>D61/D62</f>
        <v>499.5</v>
      </c>
      <c r="E70" s="11">
        <f t="shared" ref="E70:H70" si="38">E61/E62</f>
        <v>530.40046730655604</v>
      </c>
      <c r="F70" s="11">
        <f t="shared" si="38"/>
        <v>754.56</v>
      </c>
      <c r="G70" s="11">
        <f t="shared" si="38"/>
        <v>765</v>
      </c>
      <c r="H70" s="11">
        <f t="shared" si="38"/>
        <v>803.02499999999998</v>
      </c>
    </row>
    <row r="71" spans="1:18" x14ac:dyDescent="0.25">
      <c r="A71" s="16" t="s">
        <v>41</v>
      </c>
      <c r="B71" s="14"/>
      <c r="C71" s="14"/>
      <c r="D71" s="14"/>
      <c r="E71" s="14"/>
      <c r="F71" s="14"/>
      <c r="G71" s="14"/>
      <c r="H71" s="14"/>
    </row>
    <row r="72" spans="1:18" x14ac:dyDescent="0.25">
      <c r="A72" s="15" t="s">
        <v>28</v>
      </c>
      <c r="B72" s="11"/>
      <c r="C72" s="11"/>
      <c r="D72" s="11"/>
      <c r="E72" s="11"/>
      <c r="F72" s="11"/>
      <c r="G72" s="11"/>
      <c r="H72" s="11"/>
      <c r="L72">
        <v>697.5</v>
      </c>
      <c r="M72">
        <v>450</v>
      </c>
      <c r="N72">
        <v>499.5</v>
      </c>
      <c r="O72">
        <v>530.40046730655604</v>
      </c>
      <c r="P72">
        <v>754.56</v>
      </c>
      <c r="Q72">
        <v>765</v>
      </c>
      <c r="R72">
        <v>803.02499999999998</v>
      </c>
    </row>
    <row r="73" spans="1:18" x14ac:dyDescent="0.25">
      <c r="A73" s="16" t="s">
        <v>41</v>
      </c>
      <c r="B73" s="14"/>
      <c r="C73" s="14"/>
      <c r="E73" s="1"/>
      <c r="F73" s="1"/>
    </row>
    <row r="74" spans="1:18" x14ac:dyDescent="0.25">
      <c r="A74" s="15" t="s">
        <v>28</v>
      </c>
      <c r="B74" s="11"/>
      <c r="C74" s="11"/>
      <c r="E74" s="1"/>
      <c r="F74" s="1"/>
      <c r="G74" s="1"/>
    </row>
    <row r="75" spans="1:18" x14ac:dyDescent="0.25">
      <c r="A75" s="16" t="s">
        <v>42</v>
      </c>
      <c r="B75" s="7">
        <f>SUM(B64:H64,B66:H66,B68:H68,B70:H70,B72:H72,B74:C74)</f>
        <v>17999.941869226222</v>
      </c>
      <c r="F75" s="1"/>
    </row>
    <row r="77" spans="1:18" ht="15.75" x14ac:dyDescent="0.25">
      <c r="A77" s="6" t="s">
        <v>28</v>
      </c>
      <c r="B77" s="7">
        <v>3500</v>
      </c>
      <c r="C77" s="75" t="s">
        <v>19</v>
      </c>
      <c r="D77" s="76"/>
      <c r="E77" s="76"/>
      <c r="F77" s="76"/>
      <c r="G77" s="76"/>
      <c r="H77" s="76"/>
    </row>
    <row r="78" spans="1:18" x14ac:dyDescent="0.25">
      <c r="B78" s="8">
        <v>0.155</v>
      </c>
      <c r="C78" s="8">
        <v>0.1</v>
      </c>
      <c r="D78" s="8">
        <v>0.111</v>
      </c>
      <c r="E78" s="8">
        <v>0.117866770512568</v>
      </c>
      <c r="F78" s="8">
        <v>0.16768</v>
      </c>
      <c r="G78" s="8">
        <v>0.17</v>
      </c>
      <c r="H78" s="8">
        <v>0.17845</v>
      </c>
    </row>
    <row r="79" spans="1:18" x14ac:dyDescent="0.25">
      <c r="B79" s="9" t="s">
        <v>33</v>
      </c>
      <c r="C79" s="9" t="s">
        <v>34</v>
      </c>
      <c r="D79" s="9" t="s">
        <v>35</v>
      </c>
      <c r="E79" s="9" t="s">
        <v>36</v>
      </c>
      <c r="F79" s="9" t="s">
        <v>37</v>
      </c>
      <c r="G79" s="9" t="s">
        <v>38</v>
      </c>
      <c r="H79" s="9" t="s">
        <v>39</v>
      </c>
    </row>
    <row r="80" spans="1:18" x14ac:dyDescent="0.25">
      <c r="A80" s="10"/>
      <c r="B80" s="11">
        <f>$B$77*B78</f>
        <v>542.5</v>
      </c>
      <c r="C80" s="11">
        <f t="shared" ref="C80:H80" si="39">$B$77*C78</f>
        <v>350</v>
      </c>
      <c r="D80" s="11">
        <f t="shared" si="39"/>
        <v>388.5</v>
      </c>
      <c r="E80" s="11">
        <f t="shared" si="39"/>
        <v>412.53369679398799</v>
      </c>
      <c r="F80" s="11">
        <f t="shared" si="39"/>
        <v>586.88</v>
      </c>
      <c r="G80" s="11">
        <f t="shared" si="39"/>
        <v>595</v>
      </c>
      <c r="H80" s="11">
        <f t="shared" si="39"/>
        <v>624.57500000000005</v>
      </c>
    </row>
    <row r="81" spans="1:18" x14ac:dyDescent="0.25">
      <c r="A81" s="10"/>
      <c r="B81" s="12">
        <v>4</v>
      </c>
      <c r="C81" s="12">
        <v>4</v>
      </c>
      <c r="D81" s="12">
        <v>4</v>
      </c>
      <c r="E81" s="12">
        <v>4</v>
      </c>
      <c r="F81" s="12">
        <v>4</v>
      </c>
      <c r="G81" s="12">
        <v>4</v>
      </c>
      <c r="H81" s="12">
        <v>4</v>
      </c>
    </row>
    <row r="82" spans="1:18" x14ac:dyDescent="0.25">
      <c r="A82" s="10"/>
      <c r="B82" s="14">
        <v>1</v>
      </c>
      <c r="C82" s="14">
        <v>2</v>
      </c>
      <c r="D82" s="14">
        <v>3</v>
      </c>
      <c r="E82" s="14">
        <v>4</v>
      </c>
      <c r="F82" s="14">
        <v>5</v>
      </c>
      <c r="G82" s="14">
        <v>6</v>
      </c>
      <c r="H82" s="14">
        <v>7</v>
      </c>
    </row>
    <row r="83" spans="1:18" x14ac:dyDescent="0.25">
      <c r="A83" s="77" t="s">
        <v>41</v>
      </c>
      <c r="B83" s="13">
        <f t="shared" ref="B83:H83" si="40">B80/B81</f>
        <v>135.625</v>
      </c>
      <c r="C83" s="13">
        <f t="shared" si="40"/>
        <v>87.5</v>
      </c>
      <c r="D83" s="13">
        <f t="shared" si="40"/>
        <v>97.125</v>
      </c>
      <c r="E83" s="13">
        <f t="shared" si="40"/>
        <v>103.133424198497</v>
      </c>
      <c r="F83" s="13">
        <f t="shared" si="40"/>
        <v>146.72</v>
      </c>
      <c r="G83" s="13">
        <f t="shared" si="40"/>
        <v>148.75</v>
      </c>
      <c r="H83" s="13">
        <f t="shared" si="40"/>
        <v>156.14375000000001</v>
      </c>
    </row>
    <row r="84" spans="1:18" x14ac:dyDescent="0.25">
      <c r="A84" s="78"/>
      <c r="B84" s="14">
        <v>8</v>
      </c>
      <c r="C84" s="14">
        <v>9</v>
      </c>
      <c r="D84" s="14">
        <v>10</v>
      </c>
      <c r="E84" s="14">
        <v>11</v>
      </c>
      <c r="F84" s="14">
        <v>12</v>
      </c>
      <c r="G84" s="14">
        <v>13</v>
      </c>
      <c r="H84" s="14">
        <v>14</v>
      </c>
    </row>
    <row r="85" spans="1:18" x14ac:dyDescent="0.25">
      <c r="A85" s="15" t="s">
        <v>28</v>
      </c>
      <c r="B85" s="11">
        <f>B80/B81</f>
        <v>135.625</v>
      </c>
      <c r="C85" s="11">
        <f t="shared" ref="C85" si="41">C80/C81</f>
        <v>87.5</v>
      </c>
      <c r="D85" s="11">
        <f>D80/D81</f>
        <v>97.125</v>
      </c>
      <c r="E85" s="11">
        <f t="shared" ref="E85:H85" si="42">E80/E81</f>
        <v>103.133424198497</v>
      </c>
      <c r="F85" s="11">
        <f t="shared" si="42"/>
        <v>146.72</v>
      </c>
      <c r="G85" s="11">
        <f t="shared" si="42"/>
        <v>148.75</v>
      </c>
      <c r="H85" s="11">
        <f t="shared" si="42"/>
        <v>156.14375000000001</v>
      </c>
    </row>
    <row r="86" spans="1:18" x14ac:dyDescent="0.25">
      <c r="A86" s="16" t="s">
        <v>41</v>
      </c>
      <c r="B86" s="14">
        <v>15</v>
      </c>
      <c r="C86" s="14">
        <v>16</v>
      </c>
      <c r="D86" s="14">
        <v>17</v>
      </c>
      <c r="E86" s="14">
        <v>18</v>
      </c>
      <c r="F86" s="14">
        <v>19</v>
      </c>
      <c r="G86" s="14">
        <v>20</v>
      </c>
      <c r="H86" s="14">
        <v>21</v>
      </c>
    </row>
    <row r="87" spans="1:18" x14ac:dyDescent="0.25">
      <c r="A87" s="15" t="s">
        <v>28</v>
      </c>
      <c r="B87" s="11">
        <f t="shared" ref="B87" si="43">B80/B81</f>
        <v>135.625</v>
      </c>
      <c r="C87" s="11">
        <f>C80/C81</f>
        <v>87.5</v>
      </c>
      <c r="D87" s="11">
        <f t="shared" ref="D87:E87" si="44">D80/D81</f>
        <v>97.125</v>
      </c>
      <c r="E87" s="11">
        <f t="shared" si="44"/>
        <v>103.133424198497</v>
      </c>
      <c r="F87" s="11">
        <f>F80/F81</f>
        <v>146.72</v>
      </c>
      <c r="G87" s="11">
        <f t="shared" ref="G87" si="45">G80/G81</f>
        <v>148.75</v>
      </c>
      <c r="H87" s="11">
        <f>H80/H81</f>
        <v>156.14375000000001</v>
      </c>
    </row>
    <row r="88" spans="1:18" x14ac:dyDescent="0.25">
      <c r="A88" s="16" t="s">
        <v>41</v>
      </c>
      <c r="B88" s="14">
        <v>22</v>
      </c>
      <c r="C88" s="14">
        <v>23</v>
      </c>
      <c r="D88" s="14">
        <v>24</v>
      </c>
      <c r="E88" s="14">
        <v>25</v>
      </c>
      <c r="F88" s="14">
        <v>26</v>
      </c>
      <c r="G88" s="14">
        <v>27</v>
      </c>
      <c r="H88" s="14">
        <v>28</v>
      </c>
    </row>
    <row r="89" spans="1:18" x14ac:dyDescent="0.25">
      <c r="A89" s="15" t="s">
        <v>28</v>
      </c>
      <c r="B89" s="11">
        <f>B80/B81</f>
        <v>135.625</v>
      </c>
      <c r="C89" s="11">
        <f t="shared" ref="C89" si="46">C80/C81</f>
        <v>87.5</v>
      </c>
      <c r="D89" s="11">
        <f>D80/D81</f>
        <v>97.125</v>
      </c>
      <c r="E89" s="11">
        <f t="shared" ref="E89:H89" si="47">E80/E81</f>
        <v>103.133424198497</v>
      </c>
      <c r="F89" s="11">
        <f t="shared" si="47"/>
        <v>146.72</v>
      </c>
      <c r="G89" s="11">
        <f t="shared" si="47"/>
        <v>148.75</v>
      </c>
      <c r="H89" s="11">
        <f t="shared" si="47"/>
        <v>156.14375000000001</v>
      </c>
    </row>
    <row r="90" spans="1:18" x14ac:dyDescent="0.25">
      <c r="A90" s="16" t="s">
        <v>41</v>
      </c>
      <c r="B90" s="14"/>
      <c r="C90" s="14"/>
      <c r="D90" s="14"/>
      <c r="E90" s="14"/>
      <c r="F90" s="14"/>
      <c r="G90" s="14"/>
      <c r="H90" s="14"/>
    </row>
    <row r="91" spans="1:18" x14ac:dyDescent="0.25">
      <c r="A91" s="15" t="s">
        <v>28</v>
      </c>
      <c r="B91" s="11"/>
      <c r="C91" s="11"/>
      <c r="D91" s="11"/>
      <c r="E91" s="11"/>
      <c r="F91" s="11"/>
      <c r="G91" s="11"/>
      <c r="H91" s="11"/>
    </row>
    <row r="92" spans="1:18" x14ac:dyDescent="0.25">
      <c r="A92" s="16" t="s">
        <v>41</v>
      </c>
      <c r="B92" s="14"/>
      <c r="C92" s="14"/>
      <c r="E92" s="1"/>
      <c r="F92" s="1"/>
      <c r="L92">
        <v>135.625</v>
      </c>
      <c r="M92">
        <v>87.5</v>
      </c>
      <c r="N92">
        <v>97.125</v>
      </c>
      <c r="O92">
        <v>103.133424198497</v>
      </c>
      <c r="P92">
        <v>146.72</v>
      </c>
      <c r="Q92">
        <v>148.75</v>
      </c>
      <c r="R92">
        <v>156.14375000000001</v>
      </c>
    </row>
    <row r="93" spans="1:18" x14ac:dyDescent="0.25">
      <c r="A93" s="15" t="s">
        <v>28</v>
      </c>
      <c r="B93" s="11"/>
      <c r="C93" s="11"/>
      <c r="E93" s="1"/>
      <c r="F93" s="1"/>
      <c r="G93" s="1"/>
    </row>
    <row r="94" spans="1:18" x14ac:dyDescent="0.25">
      <c r="A94" s="16" t="s">
        <v>42</v>
      </c>
      <c r="B94" s="7">
        <f>SUM(B83:H83,B85:H85,B87:H87,B89:H89,B91:H91,B93:C93)</f>
        <v>3499.9886967939879</v>
      </c>
      <c r="F94" s="1"/>
    </row>
    <row r="96" spans="1:18" ht="15.75" x14ac:dyDescent="0.25">
      <c r="A96" s="6" t="s">
        <v>28</v>
      </c>
      <c r="B96" s="7">
        <v>37000</v>
      </c>
      <c r="C96" s="75" t="s">
        <v>30</v>
      </c>
      <c r="D96" s="76"/>
      <c r="E96" s="76"/>
      <c r="F96" s="76"/>
      <c r="G96" s="76"/>
      <c r="H96" s="76"/>
    </row>
    <row r="97" spans="1:18" x14ac:dyDescent="0.25">
      <c r="B97" s="8">
        <v>0.155</v>
      </c>
      <c r="C97" s="8">
        <v>0.1</v>
      </c>
      <c r="D97" s="8">
        <v>0.111</v>
      </c>
      <c r="E97" s="8">
        <v>0.117866770512568</v>
      </c>
      <c r="F97" s="8">
        <v>0.16768</v>
      </c>
      <c r="G97" s="8">
        <v>0.17</v>
      </c>
      <c r="H97" s="8">
        <v>0.17845</v>
      </c>
    </row>
    <row r="98" spans="1:18" x14ac:dyDescent="0.25">
      <c r="B98" s="9" t="s">
        <v>33</v>
      </c>
      <c r="C98" s="9" t="s">
        <v>34</v>
      </c>
      <c r="D98" s="9" t="s">
        <v>35</v>
      </c>
      <c r="E98" s="9" t="s">
        <v>36</v>
      </c>
      <c r="F98" s="9" t="s">
        <v>37</v>
      </c>
      <c r="G98" s="9" t="s">
        <v>38</v>
      </c>
      <c r="H98" s="9" t="s">
        <v>39</v>
      </c>
    </row>
    <row r="99" spans="1:18" x14ac:dyDescent="0.25">
      <c r="A99" s="10"/>
      <c r="B99" s="11">
        <f>$B$96*B97</f>
        <v>5735</v>
      </c>
      <c r="C99" s="11">
        <f t="shared" ref="C99:H99" si="48">$B$96*C97</f>
        <v>3700</v>
      </c>
      <c r="D99" s="11">
        <f t="shared" si="48"/>
        <v>4107</v>
      </c>
      <c r="E99" s="11">
        <f t="shared" si="48"/>
        <v>4361.0705089650155</v>
      </c>
      <c r="F99" s="11">
        <f t="shared" si="48"/>
        <v>6204.16</v>
      </c>
      <c r="G99" s="11">
        <f t="shared" si="48"/>
        <v>6290</v>
      </c>
      <c r="H99" s="11">
        <f t="shared" si="48"/>
        <v>6602.65</v>
      </c>
      <c r="L99">
        <v>1433.75</v>
      </c>
      <c r="M99">
        <v>925</v>
      </c>
      <c r="N99">
        <v>1026.75</v>
      </c>
      <c r="O99">
        <v>1090.2676272412539</v>
      </c>
      <c r="P99">
        <v>1551.04</v>
      </c>
      <c r="Q99">
        <v>1572.5</v>
      </c>
      <c r="R99">
        <v>1650.6624999999999</v>
      </c>
    </row>
    <row r="100" spans="1:18" x14ac:dyDescent="0.25">
      <c r="A100" s="10"/>
      <c r="B100" s="12">
        <v>4</v>
      </c>
      <c r="C100" s="12">
        <v>4</v>
      </c>
      <c r="D100" s="12">
        <v>4</v>
      </c>
      <c r="E100" s="12">
        <v>4</v>
      </c>
      <c r="F100" s="12">
        <v>4</v>
      </c>
      <c r="G100" s="12">
        <v>4</v>
      </c>
      <c r="H100" s="12">
        <v>4</v>
      </c>
    </row>
    <row r="101" spans="1:18" x14ac:dyDescent="0.25">
      <c r="A101" s="10"/>
      <c r="B101" s="14">
        <v>1</v>
      </c>
      <c r="C101" s="14">
        <v>2</v>
      </c>
      <c r="D101" s="14">
        <v>3</v>
      </c>
      <c r="E101" s="14">
        <v>4</v>
      </c>
      <c r="F101" s="14">
        <v>5</v>
      </c>
      <c r="G101" s="14">
        <v>6</v>
      </c>
      <c r="H101" s="14">
        <v>7</v>
      </c>
    </row>
    <row r="102" spans="1:18" x14ac:dyDescent="0.25">
      <c r="A102" s="77" t="s">
        <v>41</v>
      </c>
      <c r="B102" s="13">
        <f t="shared" ref="B102:H102" si="49">B99/B100</f>
        <v>1433.75</v>
      </c>
      <c r="C102" s="13">
        <f t="shared" si="49"/>
        <v>925</v>
      </c>
      <c r="D102" s="13">
        <f t="shared" si="49"/>
        <v>1026.75</v>
      </c>
      <c r="E102" s="13">
        <f t="shared" si="49"/>
        <v>1090.2676272412539</v>
      </c>
      <c r="F102" s="13">
        <f t="shared" si="49"/>
        <v>1551.04</v>
      </c>
      <c r="G102" s="13">
        <f t="shared" si="49"/>
        <v>1572.5</v>
      </c>
      <c r="H102" s="13">
        <f t="shared" si="49"/>
        <v>1650.6624999999999</v>
      </c>
    </row>
    <row r="103" spans="1:18" x14ac:dyDescent="0.25">
      <c r="A103" s="78"/>
      <c r="B103" s="14">
        <v>8</v>
      </c>
      <c r="C103" s="14">
        <v>9</v>
      </c>
      <c r="D103" s="14">
        <v>10</v>
      </c>
      <c r="E103" s="14">
        <v>11</v>
      </c>
      <c r="F103" s="14">
        <v>12</v>
      </c>
      <c r="G103" s="14">
        <v>13</v>
      </c>
      <c r="H103" s="14">
        <v>14</v>
      </c>
    </row>
    <row r="104" spans="1:18" x14ac:dyDescent="0.25">
      <c r="A104" s="15" t="s">
        <v>28</v>
      </c>
      <c r="B104" s="11">
        <f>B99/B100</f>
        <v>1433.75</v>
      </c>
      <c r="C104" s="11">
        <f t="shared" ref="C104" si="50">C99/C100</f>
        <v>925</v>
      </c>
      <c r="D104" s="11">
        <f>D99/D100</f>
        <v>1026.75</v>
      </c>
      <c r="E104" s="11">
        <f t="shared" ref="E104:H104" si="51">E99/E100</f>
        <v>1090.2676272412539</v>
      </c>
      <c r="F104" s="11">
        <f t="shared" si="51"/>
        <v>1551.04</v>
      </c>
      <c r="G104" s="11">
        <f t="shared" si="51"/>
        <v>1572.5</v>
      </c>
      <c r="H104" s="11">
        <f t="shared" si="51"/>
        <v>1650.6624999999999</v>
      </c>
    </row>
    <row r="105" spans="1:18" x14ac:dyDescent="0.25">
      <c r="A105" s="16" t="s">
        <v>41</v>
      </c>
      <c r="B105" s="14">
        <v>15</v>
      </c>
      <c r="C105" s="14">
        <v>16</v>
      </c>
      <c r="D105" s="14">
        <v>17</v>
      </c>
      <c r="E105" s="14">
        <v>18</v>
      </c>
      <c r="F105" s="14">
        <v>19</v>
      </c>
      <c r="G105" s="14">
        <v>20</v>
      </c>
      <c r="H105" s="14">
        <v>21</v>
      </c>
    </row>
    <row r="106" spans="1:18" x14ac:dyDescent="0.25">
      <c r="A106" s="15" t="s">
        <v>28</v>
      </c>
      <c r="B106" s="11">
        <f t="shared" ref="B106" si="52">B99/B100</f>
        <v>1433.75</v>
      </c>
      <c r="C106" s="11">
        <f>C99/C100</f>
        <v>925</v>
      </c>
      <c r="D106" s="11">
        <f t="shared" ref="D106:E106" si="53">D99/D100</f>
        <v>1026.75</v>
      </c>
      <c r="E106" s="11">
        <f t="shared" si="53"/>
        <v>1090.2676272412539</v>
      </c>
      <c r="F106" s="11">
        <f>F99/F100</f>
        <v>1551.04</v>
      </c>
      <c r="G106" s="11">
        <f t="shared" ref="G106" si="54">G99/G100</f>
        <v>1572.5</v>
      </c>
      <c r="H106" s="11">
        <f>H99/H100</f>
        <v>1650.6624999999999</v>
      </c>
    </row>
    <row r="107" spans="1:18" x14ac:dyDescent="0.25">
      <c r="A107" s="16" t="s">
        <v>41</v>
      </c>
      <c r="B107" s="14">
        <v>22</v>
      </c>
      <c r="C107" s="14">
        <v>23</v>
      </c>
      <c r="D107" s="14">
        <v>24</v>
      </c>
      <c r="E107" s="14">
        <v>25</v>
      </c>
      <c r="F107" s="14">
        <v>26</v>
      </c>
      <c r="G107" s="14">
        <v>27</v>
      </c>
      <c r="H107" s="14">
        <v>28</v>
      </c>
    </row>
    <row r="108" spans="1:18" x14ac:dyDescent="0.25">
      <c r="A108" s="15" t="s">
        <v>28</v>
      </c>
      <c r="B108" s="11">
        <f>B99/B100</f>
        <v>1433.75</v>
      </c>
      <c r="C108" s="11">
        <f t="shared" ref="C108" si="55">C99/C100</f>
        <v>925</v>
      </c>
      <c r="D108" s="11">
        <f>D99/D100</f>
        <v>1026.75</v>
      </c>
      <c r="E108" s="11">
        <f t="shared" ref="E108:H108" si="56">E99/E100</f>
        <v>1090.2676272412539</v>
      </c>
      <c r="F108" s="11">
        <f t="shared" si="56"/>
        <v>1551.04</v>
      </c>
      <c r="G108" s="11">
        <f t="shared" si="56"/>
        <v>1572.5</v>
      </c>
      <c r="H108" s="11">
        <f t="shared" si="56"/>
        <v>1650.6624999999999</v>
      </c>
    </row>
    <row r="109" spans="1:18" x14ac:dyDescent="0.25">
      <c r="A109" s="16" t="s">
        <v>41</v>
      </c>
      <c r="B109" s="14"/>
      <c r="C109" s="14"/>
      <c r="D109" s="14"/>
      <c r="E109" s="14"/>
      <c r="F109" s="14"/>
      <c r="G109" s="14"/>
      <c r="H109" s="14"/>
    </row>
    <row r="110" spans="1:18" x14ac:dyDescent="0.25">
      <c r="A110" s="15" t="s">
        <v>28</v>
      </c>
      <c r="B110" s="11"/>
      <c r="C110" s="11"/>
      <c r="D110" s="11"/>
      <c r="E110" s="11"/>
      <c r="F110" s="11"/>
      <c r="G110" s="11"/>
      <c r="H110" s="11"/>
    </row>
    <row r="111" spans="1:18" x14ac:dyDescent="0.25">
      <c r="A111" s="16" t="s">
        <v>41</v>
      </c>
      <c r="B111" s="14"/>
      <c r="C111" s="14"/>
      <c r="E111" s="1"/>
      <c r="F111" s="1"/>
    </row>
    <row r="112" spans="1:18" x14ac:dyDescent="0.25">
      <c r="A112" s="15" t="s">
        <v>28</v>
      </c>
      <c r="B112" s="11"/>
      <c r="C112" s="11"/>
      <c r="E112" s="1"/>
      <c r="F112" s="1"/>
      <c r="G112" s="1"/>
    </row>
    <row r="113" spans="1:18" x14ac:dyDescent="0.25">
      <c r="A113" s="16" t="s">
        <v>42</v>
      </c>
      <c r="B113" s="7">
        <f>SUM(B102:H102,B104:H104,B106:H106,B108:H108,B110:H110,B112:C112)</f>
        <v>36999.880508965012</v>
      </c>
      <c r="F113" s="1"/>
    </row>
    <row r="115" spans="1:18" ht="15.75" x14ac:dyDescent="0.25">
      <c r="A115" s="6" t="s">
        <v>28</v>
      </c>
      <c r="B115" s="7">
        <v>23000</v>
      </c>
      <c r="C115" s="75" t="s">
        <v>65</v>
      </c>
      <c r="D115" s="76"/>
      <c r="E115" s="76"/>
      <c r="F115" s="76"/>
      <c r="G115" s="76"/>
      <c r="H115" s="76"/>
    </row>
    <row r="116" spans="1:18" x14ac:dyDescent="0.25">
      <c r="B116" s="8">
        <v>0.155</v>
      </c>
      <c r="C116" s="8">
        <v>0.1</v>
      </c>
      <c r="D116" s="8">
        <v>0.111</v>
      </c>
      <c r="E116" s="8">
        <v>0.117866770512568</v>
      </c>
      <c r="F116" s="8">
        <v>0.16768</v>
      </c>
      <c r="G116" s="8">
        <v>0.17</v>
      </c>
      <c r="H116" s="8">
        <v>0.17845</v>
      </c>
    </row>
    <row r="117" spans="1:18" x14ac:dyDescent="0.25">
      <c r="B117" s="9" t="s">
        <v>33</v>
      </c>
      <c r="C117" s="9" t="s">
        <v>34</v>
      </c>
      <c r="D117" s="9" t="s">
        <v>35</v>
      </c>
      <c r="E117" s="9" t="s">
        <v>36</v>
      </c>
      <c r="F117" s="9" t="s">
        <v>37</v>
      </c>
      <c r="G117" s="9" t="s">
        <v>38</v>
      </c>
      <c r="H117" s="9" t="s">
        <v>39</v>
      </c>
    </row>
    <row r="118" spans="1:18" x14ac:dyDescent="0.25">
      <c r="A118" s="10"/>
      <c r="B118" s="11">
        <f>$B$115*B116</f>
        <v>3565</v>
      </c>
      <c r="C118" s="11">
        <f t="shared" ref="C118:H118" si="57">$B$115*C116</f>
        <v>2300</v>
      </c>
      <c r="D118" s="11">
        <f t="shared" si="57"/>
        <v>2553</v>
      </c>
      <c r="E118" s="11">
        <f t="shared" si="57"/>
        <v>2710.9357217890638</v>
      </c>
      <c r="F118" s="11">
        <f t="shared" si="57"/>
        <v>3856.64</v>
      </c>
      <c r="G118" s="11">
        <f t="shared" si="57"/>
        <v>3910.0000000000005</v>
      </c>
      <c r="H118" s="11">
        <f t="shared" si="57"/>
        <v>4104.3500000000004</v>
      </c>
    </row>
    <row r="119" spans="1:18" x14ac:dyDescent="0.25">
      <c r="A119" s="10"/>
      <c r="B119" s="12">
        <v>4</v>
      </c>
      <c r="C119" s="12">
        <v>4</v>
      </c>
      <c r="D119" s="12">
        <v>4</v>
      </c>
      <c r="E119" s="12">
        <v>4</v>
      </c>
      <c r="F119" s="12">
        <v>4</v>
      </c>
      <c r="G119" s="12">
        <v>4</v>
      </c>
      <c r="H119" s="12">
        <v>4</v>
      </c>
    </row>
    <row r="120" spans="1:18" x14ac:dyDescent="0.25">
      <c r="A120" s="10"/>
      <c r="B120" s="14">
        <v>1</v>
      </c>
      <c r="C120" s="14">
        <v>2</v>
      </c>
      <c r="D120" s="14">
        <v>3</v>
      </c>
      <c r="E120" s="14">
        <v>4</v>
      </c>
      <c r="F120" s="14">
        <v>5</v>
      </c>
      <c r="G120" s="14">
        <v>6</v>
      </c>
      <c r="H120" s="14">
        <v>7</v>
      </c>
    </row>
    <row r="121" spans="1:18" x14ac:dyDescent="0.25">
      <c r="A121" s="77" t="s">
        <v>41</v>
      </c>
      <c r="B121" s="13">
        <f t="shared" ref="B121:H121" si="58">B118/B119</f>
        <v>891.25</v>
      </c>
      <c r="C121" s="13">
        <f t="shared" si="58"/>
        <v>575</v>
      </c>
      <c r="D121" s="13">
        <f t="shared" si="58"/>
        <v>638.25</v>
      </c>
      <c r="E121" s="13">
        <f t="shared" si="58"/>
        <v>677.73393044726595</v>
      </c>
      <c r="F121" s="13">
        <f t="shared" si="58"/>
        <v>964.16</v>
      </c>
      <c r="G121" s="13">
        <f t="shared" si="58"/>
        <v>977.50000000000011</v>
      </c>
      <c r="H121" s="13">
        <f t="shared" si="58"/>
        <v>1026.0875000000001</v>
      </c>
      <c r="L121">
        <v>891.25</v>
      </c>
      <c r="M121">
        <v>575</v>
      </c>
      <c r="N121">
        <v>638.25</v>
      </c>
      <c r="O121">
        <v>677.73393044726595</v>
      </c>
      <c r="P121">
        <v>964.16</v>
      </c>
      <c r="Q121">
        <v>977.50000000000011</v>
      </c>
      <c r="R121">
        <v>1026.0875000000001</v>
      </c>
    </row>
    <row r="122" spans="1:18" x14ac:dyDescent="0.25">
      <c r="A122" s="78"/>
      <c r="B122" s="14">
        <v>8</v>
      </c>
      <c r="C122" s="14">
        <v>9</v>
      </c>
      <c r="D122" s="14">
        <v>10</v>
      </c>
      <c r="E122" s="14">
        <v>11</v>
      </c>
      <c r="F122" s="14">
        <v>12</v>
      </c>
      <c r="G122" s="14">
        <v>13</v>
      </c>
      <c r="H122" s="14">
        <v>14</v>
      </c>
    </row>
    <row r="123" spans="1:18" x14ac:dyDescent="0.25">
      <c r="A123" s="15" t="s">
        <v>28</v>
      </c>
      <c r="B123" s="11">
        <f>B118/B119</f>
        <v>891.25</v>
      </c>
      <c r="C123" s="11">
        <f t="shared" ref="C123" si="59">C118/C119</f>
        <v>575</v>
      </c>
      <c r="D123" s="11">
        <f>D118/D119</f>
        <v>638.25</v>
      </c>
      <c r="E123" s="11">
        <f t="shared" ref="E123:H123" si="60">E118/E119</f>
        <v>677.73393044726595</v>
      </c>
      <c r="F123" s="11">
        <f t="shared" si="60"/>
        <v>964.16</v>
      </c>
      <c r="G123" s="11">
        <f t="shared" si="60"/>
        <v>977.50000000000011</v>
      </c>
      <c r="H123" s="11">
        <f t="shared" si="60"/>
        <v>1026.0875000000001</v>
      </c>
    </row>
    <row r="124" spans="1:18" x14ac:dyDescent="0.25">
      <c r="A124" s="16" t="s">
        <v>41</v>
      </c>
      <c r="B124" s="14">
        <v>15</v>
      </c>
      <c r="C124" s="14">
        <v>16</v>
      </c>
      <c r="D124" s="14">
        <v>17</v>
      </c>
      <c r="E124" s="14">
        <v>18</v>
      </c>
      <c r="F124" s="14">
        <v>19</v>
      </c>
      <c r="G124" s="14">
        <v>20</v>
      </c>
      <c r="H124" s="14">
        <v>21</v>
      </c>
    </row>
    <row r="125" spans="1:18" x14ac:dyDescent="0.25">
      <c r="A125" s="15" t="s">
        <v>28</v>
      </c>
      <c r="B125" s="11">
        <f t="shared" ref="B125" si="61">B118/B119</f>
        <v>891.25</v>
      </c>
      <c r="C125" s="11">
        <f>C118/C119</f>
        <v>575</v>
      </c>
      <c r="D125" s="11">
        <f t="shared" ref="D125:E125" si="62">D118/D119</f>
        <v>638.25</v>
      </c>
      <c r="E125" s="11">
        <f t="shared" si="62"/>
        <v>677.73393044726595</v>
      </c>
      <c r="F125" s="11">
        <f>F118/F119</f>
        <v>964.16</v>
      </c>
      <c r="G125" s="11">
        <f t="shared" ref="G125" si="63">G118/G119</f>
        <v>977.50000000000011</v>
      </c>
      <c r="H125" s="11">
        <f>H118/H119</f>
        <v>1026.0875000000001</v>
      </c>
    </row>
    <row r="126" spans="1:18" x14ac:dyDescent="0.25">
      <c r="A126" s="16" t="s">
        <v>41</v>
      </c>
      <c r="B126" s="14">
        <v>22</v>
      </c>
      <c r="C126" s="14">
        <v>23</v>
      </c>
      <c r="D126" s="14">
        <v>24</v>
      </c>
      <c r="E126" s="14">
        <v>25</v>
      </c>
      <c r="F126" s="14">
        <v>26</v>
      </c>
      <c r="G126" s="14">
        <v>27</v>
      </c>
      <c r="H126" s="14">
        <v>28</v>
      </c>
    </row>
    <row r="127" spans="1:18" x14ac:dyDescent="0.25">
      <c r="A127" s="15" t="s">
        <v>28</v>
      </c>
      <c r="B127" s="11">
        <f>B118/B119</f>
        <v>891.25</v>
      </c>
      <c r="C127" s="11">
        <f t="shared" ref="C127" si="64">C118/C119</f>
        <v>575</v>
      </c>
      <c r="D127" s="11">
        <f>D118/D119</f>
        <v>638.25</v>
      </c>
      <c r="E127" s="11">
        <f t="shared" ref="E127:H127" si="65">E118/E119</f>
        <v>677.73393044726595</v>
      </c>
      <c r="F127" s="11">
        <f t="shared" si="65"/>
        <v>964.16</v>
      </c>
      <c r="G127" s="11">
        <f t="shared" si="65"/>
        <v>977.50000000000011</v>
      </c>
      <c r="H127" s="11">
        <f t="shared" si="65"/>
        <v>1026.0875000000001</v>
      </c>
    </row>
    <row r="128" spans="1:18" x14ac:dyDescent="0.25">
      <c r="A128" s="16" t="s">
        <v>41</v>
      </c>
      <c r="B128" s="14"/>
      <c r="C128" s="14"/>
      <c r="D128" s="14"/>
      <c r="E128" s="14"/>
      <c r="F128" s="14"/>
      <c r="G128" s="14"/>
      <c r="H128" s="14"/>
    </row>
    <row r="129" spans="1:18" x14ac:dyDescent="0.25">
      <c r="A129" s="15" t="s">
        <v>28</v>
      </c>
      <c r="B129" s="11"/>
      <c r="C129" s="11"/>
      <c r="D129" s="11"/>
      <c r="E129" s="11"/>
      <c r="F129" s="11"/>
      <c r="G129" s="11"/>
      <c r="H129" s="11"/>
    </row>
    <row r="130" spans="1:18" x14ac:dyDescent="0.25">
      <c r="A130" s="16" t="s">
        <v>41</v>
      </c>
      <c r="B130" s="14"/>
      <c r="C130" s="14"/>
      <c r="E130" s="1"/>
      <c r="F130" s="1"/>
    </row>
    <row r="131" spans="1:18" x14ac:dyDescent="0.25">
      <c r="A131" s="15" t="s">
        <v>28</v>
      </c>
      <c r="B131" s="11"/>
      <c r="C131" s="11"/>
      <c r="E131" s="1"/>
      <c r="F131" s="1"/>
      <c r="G131" s="1"/>
    </row>
    <row r="132" spans="1:18" x14ac:dyDescent="0.25">
      <c r="A132" s="16" t="s">
        <v>42</v>
      </c>
      <c r="B132" s="7">
        <f>SUM(B121:H121,B123:H123,B125:H125,B127:H127,B129:H129,B131:C131)</f>
        <v>22999.925721789066</v>
      </c>
      <c r="F132" s="1"/>
    </row>
    <row r="134" spans="1:18" ht="15.75" x14ac:dyDescent="0.25">
      <c r="A134" s="6" t="s">
        <v>28</v>
      </c>
      <c r="B134" s="7">
        <v>52000</v>
      </c>
      <c r="C134" s="75" t="s">
        <v>66</v>
      </c>
      <c r="D134" s="76"/>
      <c r="E134" s="76"/>
      <c r="F134" s="76"/>
      <c r="G134" s="76"/>
      <c r="H134" s="76"/>
    </row>
    <row r="135" spans="1:18" x14ac:dyDescent="0.25">
      <c r="B135" s="8">
        <v>0.155</v>
      </c>
      <c r="C135" s="8">
        <v>0.1</v>
      </c>
      <c r="D135" s="8">
        <v>0.111</v>
      </c>
      <c r="E135" s="8">
        <v>0.117866770512568</v>
      </c>
      <c r="F135" s="8">
        <v>0.16768</v>
      </c>
      <c r="G135" s="8">
        <v>0.17</v>
      </c>
      <c r="H135" s="8">
        <v>0.17845</v>
      </c>
    </row>
    <row r="136" spans="1:18" x14ac:dyDescent="0.25">
      <c r="B136" s="9" t="s">
        <v>33</v>
      </c>
      <c r="C136" s="9" t="s">
        <v>34</v>
      </c>
      <c r="D136" s="9" t="s">
        <v>35</v>
      </c>
      <c r="E136" s="9" t="s">
        <v>36</v>
      </c>
      <c r="F136" s="9" t="s">
        <v>37</v>
      </c>
      <c r="G136" s="9" t="s">
        <v>38</v>
      </c>
      <c r="H136" s="9" t="s">
        <v>39</v>
      </c>
    </row>
    <row r="137" spans="1:18" x14ac:dyDescent="0.25">
      <c r="A137" s="10"/>
      <c r="B137" s="11">
        <f>$B$134*B135</f>
        <v>8060</v>
      </c>
      <c r="C137" s="11">
        <f t="shared" ref="C137:H137" si="66">$B$134*C135</f>
        <v>5200</v>
      </c>
      <c r="D137" s="11">
        <f t="shared" si="66"/>
        <v>5772</v>
      </c>
      <c r="E137" s="11">
        <f t="shared" si="66"/>
        <v>6129.0720666535362</v>
      </c>
      <c r="F137" s="11">
        <f t="shared" si="66"/>
        <v>8719.36</v>
      </c>
      <c r="G137" s="11">
        <f t="shared" si="66"/>
        <v>8840</v>
      </c>
      <c r="H137" s="11">
        <f t="shared" si="66"/>
        <v>9279.4</v>
      </c>
    </row>
    <row r="138" spans="1:18" x14ac:dyDescent="0.25">
      <c r="A138" s="10"/>
      <c r="B138" s="12">
        <v>4</v>
      </c>
      <c r="C138" s="12">
        <v>4</v>
      </c>
      <c r="D138" s="12">
        <v>4</v>
      </c>
      <c r="E138" s="12">
        <v>4</v>
      </c>
      <c r="F138" s="12">
        <v>4</v>
      </c>
      <c r="G138" s="12">
        <v>4</v>
      </c>
      <c r="H138" s="12">
        <v>4</v>
      </c>
    </row>
    <row r="139" spans="1:18" x14ac:dyDescent="0.25">
      <c r="A139" s="10"/>
      <c r="B139" s="14">
        <v>1</v>
      </c>
      <c r="C139" s="14">
        <v>2</v>
      </c>
      <c r="D139" s="14">
        <v>3</v>
      </c>
      <c r="E139" s="14">
        <v>4</v>
      </c>
      <c r="F139" s="14">
        <v>5</v>
      </c>
      <c r="G139" s="14">
        <v>6</v>
      </c>
      <c r="H139" s="14">
        <v>7</v>
      </c>
      <c r="L139">
        <v>2015</v>
      </c>
      <c r="M139">
        <v>1300</v>
      </c>
      <c r="N139">
        <v>1443</v>
      </c>
      <c r="O139">
        <v>1532.2680166633841</v>
      </c>
      <c r="P139">
        <v>2179.84</v>
      </c>
      <c r="Q139">
        <v>2210</v>
      </c>
      <c r="R139">
        <v>2319.85</v>
      </c>
    </row>
    <row r="140" spans="1:18" x14ac:dyDescent="0.25">
      <c r="A140" s="77" t="s">
        <v>41</v>
      </c>
      <c r="B140" s="13">
        <f t="shared" ref="B140:H140" si="67">B137/B138</f>
        <v>2015</v>
      </c>
      <c r="C140" s="13">
        <f t="shared" si="67"/>
        <v>1300</v>
      </c>
      <c r="D140" s="13">
        <f t="shared" si="67"/>
        <v>1443</v>
      </c>
      <c r="E140" s="13">
        <f t="shared" si="67"/>
        <v>1532.2680166633841</v>
      </c>
      <c r="F140" s="13">
        <f t="shared" si="67"/>
        <v>2179.84</v>
      </c>
      <c r="G140" s="13">
        <f t="shared" si="67"/>
        <v>2210</v>
      </c>
      <c r="H140" s="13">
        <f t="shared" si="67"/>
        <v>2319.85</v>
      </c>
    </row>
    <row r="141" spans="1:18" x14ac:dyDescent="0.25">
      <c r="A141" s="78"/>
      <c r="B141" s="14">
        <v>8</v>
      </c>
      <c r="C141" s="14">
        <v>9</v>
      </c>
      <c r="D141" s="14">
        <v>10</v>
      </c>
      <c r="E141" s="14">
        <v>11</v>
      </c>
      <c r="F141" s="14">
        <v>12</v>
      </c>
      <c r="G141" s="14">
        <v>13</v>
      </c>
      <c r="H141" s="14">
        <v>14</v>
      </c>
    </row>
    <row r="142" spans="1:18" x14ac:dyDescent="0.25">
      <c r="A142" s="15" t="s">
        <v>28</v>
      </c>
      <c r="B142" s="11">
        <f>B137/B138</f>
        <v>2015</v>
      </c>
      <c r="C142" s="11">
        <f t="shared" ref="C142" si="68">C137/C138</f>
        <v>1300</v>
      </c>
      <c r="D142" s="11">
        <f>D137/D138</f>
        <v>1443</v>
      </c>
      <c r="E142" s="11">
        <f t="shared" ref="E142:H142" si="69">E137/E138</f>
        <v>1532.2680166633841</v>
      </c>
      <c r="F142" s="11">
        <f t="shared" si="69"/>
        <v>2179.84</v>
      </c>
      <c r="G142" s="11">
        <f t="shared" si="69"/>
        <v>2210</v>
      </c>
      <c r="H142" s="11">
        <f t="shared" si="69"/>
        <v>2319.85</v>
      </c>
    </row>
    <row r="143" spans="1:18" x14ac:dyDescent="0.25">
      <c r="A143" s="16" t="s">
        <v>41</v>
      </c>
      <c r="B143" s="14">
        <v>15</v>
      </c>
      <c r="C143" s="14">
        <v>16</v>
      </c>
      <c r="D143" s="14">
        <v>17</v>
      </c>
      <c r="E143" s="14">
        <v>18</v>
      </c>
      <c r="F143" s="14">
        <v>19</v>
      </c>
      <c r="G143" s="14">
        <v>20</v>
      </c>
      <c r="H143" s="14">
        <v>21</v>
      </c>
    </row>
    <row r="144" spans="1:18" x14ac:dyDescent="0.25">
      <c r="A144" s="15" t="s">
        <v>28</v>
      </c>
      <c r="B144" s="11">
        <f t="shared" ref="B144" si="70">B137/B138</f>
        <v>2015</v>
      </c>
      <c r="C144" s="11">
        <f>C137/C138</f>
        <v>1300</v>
      </c>
      <c r="D144" s="11">
        <f t="shared" ref="D144:E144" si="71">D137/D138</f>
        <v>1443</v>
      </c>
      <c r="E144" s="11">
        <f t="shared" si="71"/>
        <v>1532.2680166633841</v>
      </c>
      <c r="F144" s="11">
        <f>F137/F138</f>
        <v>2179.84</v>
      </c>
      <c r="G144" s="11">
        <f t="shared" ref="G144" si="72">G137/G138</f>
        <v>2210</v>
      </c>
      <c r="H144" s="11">
        <f>H137/H138</f>
        <v>2319.85</v>
      </c>
    </row>
    <row r="145" spans="1:20" x14ac:dyDescent="0.25">
      <c r="A145" s="16" t="s">
        <v>41</v>
      </c>
      <c r="B145" s="14">
        <v>22</v>
      </c>
      <c r="C145" s="14">
        <v>23</v>
      </c>
      <c r="D145" s="14">
        <v>24</v>
      </c>
      <c r="E145" s="14">
        <v>25</v>
      </c>
      <c r="F145" s="14">
        <v>26</v>
      </c>
      <c r="G145" s="14">
        <v>27</v>
      </c>
      <c r="H145" s="14">
        <v>28</v>
      </c>
    </row>
    <row r="146" spans="1:20" x14ac:dyDescent="0.25">
      <c r="A146" s="15" t="s">
        <v>28</v>
      </c>
      <c r="B146" s="11">
        <f>B137/B138</f>
        <v>2015</v>
      </c>
      <c r="C146" s="11">
        <f t="shared" ref="C146" si="73">C137/C138</f>
        <v>1300</v>
      </c>
      <c r="D146" s="11">
        <f>D137/D138</f>
        <v>1443</v>
      </c>
      <c r="E146" s="11">
        <f t="shared" ref="E146:H146" si="74">E137/E138</f>
        <v>1532.2680166633841</v>
      </c>
      <c r="F146" s="11">
        <f t="shared" si="74"/>
        <v>2179.84</v>
      </c>
      <c r="G146" s="11">
        <f t="shared" si="74"/>
        <v>2210</v>
      </c>
      <c r="H146" s="11">
        <f t="shared" si="74"/>
        <v>2319.85</v>
      </c>
    </row>
    <row r="147" spans="1:20" x14ac:dyDescent="0.25">
      <c r="A147" s="16" t="s">
        <v>41</v>
      </c>
      <c r="B147" s="14"/>
      <c r="C147" s="14"/>
      <c r="D147" s="14"/>
      <c r="E147" s="14"/>
      <c r="F147" s="14"/>
      <c r="G147" s="14"/>
      <c r="H147" s="14"/>
    </row>
    <row r="148" spans="1:20" x14ac:dyDescent="0.25">
      <c r="A148" s="15" t="s">
        <v>28</v>
      </c>
      <c r="B148" s="11"/>
      <c r="C148" s="11"/>
      <c r="D148" s="11"/>
      <c r="E148" s="11"/>
      <c r="F148" s="11"/>
      <c r="G148" s="11"/>
      <c r="H148" s="11"/>
    </row>
    <row r="149" spans="1:20" x14ac:dyDescent="0.25">
      <c r="A149" s="16" t="s">
        <v>41</v>
      </c>
      <c r="B149" s="14"/>
      <c r="C149" s="14"/>
      <c r="E149" s="1"/>
      <c r="F149" s="1"/>
    </row>
    <row r="150" spans="1:20" x14ac:dyDescent="0.25">
      <c r="A150" s="15" t="s">
        <v>28</v>
      </c>
      <c r="B150" s="11"/>
      <c r="C150" s="11"/>
      <c r="E150" s="1"/>
      <c r="F150" s="1"/>
      <c r="G150" s="1"/>
    </row>
    <row r="151" spans="1:20" x14ac:dyDescent="0.25">
      <c r="A151" s="16" t="s">
        <v>42</v>
      </c>
      <c r="B151" s="7">
        <f>SUM(B140:H140,B142:H142,B144:H144,B146:H146,B148:H148,B150:C150)</f>
        <v>51999.832066653536</v>
      </c>
      <c r="F151" s="1"/>
    </row>
    <row r="153" spans="1:20" ht="15.75" x14ac:dyDescent="0.25">
      <c r="A153" s="6" t="s">
        <v>28</v>
      </c>
      <c r="B153" s="7">
        <v>83798.98</v>
      </c>
      <c r="C153" s="75" t="s">
        <v>67</v>
      </c>
      <c r="D153" s="76"/>
      <c r="E153" s="76"/>
      <c r="F153" s="76"/>
      <c r="G153" s="76"/>
      <c r="H153" s="76"/>
    </row>
    <row r="154" spans="1:20" x14ac:dyDescent="0.25">
      <c r="B154" s="8">
        <v>0.155</v>
      </c>
      <c r="C154" s="8">
        <v>0.1</v>
      </c>
      <c r="D154" s="8">
        <v>0.111</v>
      </c>
      <c r="E154" s="8">
        <v>0.117866770512568</v>
      </c>
      <c r="F154" s="8">
        <v>0.16768</v>
      </c>
      <c r="G154" s="8">
        <v>0.17</v>
      </c>
      <c r="H154" s="8">
        <v>0.17845</v>
      </c>
    </row>
    <row r="155" spans="1:20" x14ac:dyDescent="0.25">
      <c r="B155" s="9" t="s">
        <v>33</v>
      </c>
      <c r="C155" s="9" t="s">
        <v>34</v>
      </c>
      <c r="D155" s="9" t="s">
        <v>35</v>
      </c>
      <c r="E155" s="9" t="s">
        <v>36</v>
      </c>
      <c r="F155" s="9" t="s">
        <v>37</v>
      </c>
      <c r="G155" s="9" t="s">
        <v>38</v>
      </c>
      <c r="H155" s="9" t="s">
        <v>39</v>
      </c>
    </row>
    <row r="156" spans="1:20" x14ac:dyDescent="0.25">
      <c r="A156" s="10"/>
      <c r="B156" s="11">
        <f>$B$153*B154</f>
        <v>12988.841899999999</v>
      </c>
      <c r="C156" s="11">
        <f t="shared" ref="C156:H156" si="75">$B$153*C154</f>
        <v>8379.8979999999992</v>
      </c>
      <c r="D156" s="11">
        <f t="shared" si="75"/>
        <v>9301.68678</v>
      </c>
      <c r="E156" s="11">
        <f t="shared" si="75"/>
        <v>9877.1151448472756</v>
      </c>
      <c r="F156" s="11">
        <f t="shared" si="75"/>
        <v>14051.412966399999</v>
      </c>
      <c r="G156" s="11">
        <f t="shared" si="75"/>
        <v>14245.8266</v>
      </c>
      <c r="H156" s="11">
        <f t="shared" si="75"/>
        <v>14953.927980999999</v>
      </c>
    </row>
    <row r="157" spans="1:20" x14ac:dyDescent="0.25">
      <c r="A157" s="10"/>
      <c r="B157" s="12">
        <v>4</v>
      </c>
      <c r="C157" s="12">
        <v>4</v>
      </c>
      <c r="D157" s="12">
        <v>4</v>
      </c>
      <c r="E157" s="12">
        <v>4</v>
      </c>
      <c r="F157" s="12">
        <v>4</v>
      </c>
      <c r="G157" s="12">
        <v>4</v>
      </c>
      <c r="H157" s="12">
        <v>4</v>
      </c>
    </row>
    <row r="158" spans="1:20" x14ac:dyDescent="0.25">
      <c r="A158" s="10"/>
      <c r="B158" s="14">
        <v>1</v>
      </c>
      <c r="C158" s="14">
        <v>2</v>
      </c>
      <c r="D158" s="14">
        <v>3</v>
      </c>
      <c r="E158" s="14">
        <v>4</v>
      </c>
      <c r="F158" s="14">
        <v>5</v>
      </c>
      <c r="G158" s="14">
        <v>6</v>
      </c>
      <c r="H158" s="14">
        <v>7</v>
      </c>
    </row>
    <row r="159" spans="1:20" x14ac:dyDescent="0.25">
      <c r="A159" s="77" t="s">
        <v>41</v>
      </c>
      <c r="B159" s="13">
        <f t="shared" ref="B159:H159" si="76">B156/B157</f>
        <v>3247.2104749999999</v>
      </c>
      <c r="C159" s="13">
        <f t="shared" si="76"/>
        <v>2094.9744999999998</v>
      </c>
      <c r="D159" s="13">
        <f t="shared" si="76"/>
        <v>2325.421695</v>
      </c>
      <c r="E159" s="13">
        <f t="shared" si="76"/>
        <v>2469.2787862118189</v>
      </c>
      <c r="F159" s="13">
        <f t="shared" si="76"/>
        <v>3512.8532415999998</v>
      </c>
      <c r="G159" s="13">
        <f t="shared" si="76"/>
        <v>3561.4566500000001</v>
      </c>
      <c r="H159" s="13">
        <f t="shared" si="76"/>
        <v>3738.4819952499997</v>
      </c>
      <c r="N159">
        <v>3247.2104749999999</v>
      </c>
      <c r="O159">
        <v>2094.9744999999998</v>
      </c>
      <c r="P159">
        <v>2325.421695</v>
      </c>
      <c r="Q159">
        <v>2469.2787862118189</v>
      </c>
      <c r="R159">
        <v>3512.8532415999998</v>
      </c>
      <c r="S159">
        <v>3561.4566500000001</v>
      </c>
      <c r="T159">
        <v>3738.4819952499997</v>
      </c>
    </row>
    <row r="160" spans="1:20" x14ac:dyDescent="0.25">
      <c r="A160" s="78"/>
      <c r="B160" s="14">
        <v>8</v>
      </c>
      <c r="C160" s="14">
        <v>9</v>
      </c>
      <c r="D160" s="14">
        <v>10</v>
      </c>
      <c r="E160" s="14">
        <v>11</v>
      </c>
      <c r="F160" s="14">
        <v>12</v>
      </c>
      <c r="G160" s="14">
        <v>13</v>
      </c>
      <c r="H160" s="14">
        <v>14</v>
      </c>
    </row>
    <row r="161" spans="1:14" x14ac:dyDescent="0.25">
      <c r="A161" s="15" t="s">
        <v>28</v>
      </c>
      <c r="B161" s="11">
        <f>B156/B157</f>
        <v>3247.2104749999999</v>
      </c>
      <c r="C161" s="11">
        <f t="shared" ref="C161" si="77">C156/C157</f>
        <v>2094.9744999999998</v>
      </c>
      <c r="D161" s="11">
        <f>D156/D157</f>
        <v>2325.421695</v>
      </c>
      <c r="E161" s="11">
        <f t="shared" ref="E161:H161" si="78">E156/E157</f>
        <v>2469.2787862118189</v>
      </c>
      <c r="F161" s="11">
        <f t="shared" si="78"/>
        <v>3512.8532415999998</v>
      </c>
      <c r="G161" s="11">
        <f t="shared" si="78"/>
        <v>3561.4566500000001</v>
      </c>
      <c r="H161" s="11">
        <f t="shared" si="78"/>
        <v>3738.4819952499997</v>
      </c>
    </row>
    <row r="162" spans="1:14" x14ac:dyDescent="0.25">
      <c r="A162" s="16" t="s">
        <v>41</v>
      </c>
      <c r="B162" s="14">
        <v>15</v>
      </c>
      <c r="C162" s="14">
        <v>16</v>
      </c>
      <c r="D162" s="14">
        <v>17</v>
      </c>
      <c r="E162" s="14">
        <v>18</v>
      </c>
      <c r="F162" s="14">
        <v>19</v>
      </c>
      <c r="G162" s="14">
        <v>20</v>
      </c>
      <c r="H162" s="14">
        <v>21</v>
      </c>
      <c r="N162">
        <v>3247.2104749999999</v>
      </c>
    </row>
    <row r="163" spans="1:14" x14ac:dyDescent="0.25">
      <c r="A163" s="15" t="s">
        <v>28</v>
      </c>
      <c r="B163" s="11">
        <f t="shared" ref="B163" si="79">B156/B157</f>
        <v>3247.2104749999999</v>
      </c>
      <c r="C163" s="11">
        <f>C156/C157</f>
        <v>2094.9744999999998</v>
      </c>
      <c r="D163" s="11">
        <f t="shared" ref="D163:E163" si="80">D156/D157</f>
        <v>2325.421695</v>
      </c>
      <c r="E163" s="11">
        <f t="shared" si="80"/>
        <v>2469.2787862118189</v>
      </c>
      <c r="F163" s="11">
        <f>F156/F157</f>
        <v>3512.8532415999998</v>
      </c>
      <c r="G163" s="11">
        <f t="shared" ref="G163" si="81">G156/G157</f>
        <v>3561.4566500000001</v>
      </c>
      <c r="H163" s="11">
        <f>H156/H157</f>
        <v>3738.4819952499997</v>
      </c>
      <c r="N163">
        <v>2094.9744999999998</v>
      </c>
    </row>
    <row r="164" spans="1:14" x14ac:dyDescent="0.25">
      <c r="A164" s="16" t="s">
        <v>41</v>
      </c>
      <c r="B164" s="14">
        <v>22</v>
      </c>
      <c r="C164" s="14">
        <v>23</v>
      </c>
      <c r="D164" s="14">
        <v>24</v>
      </c>
      <c r="E164" s="14">
        <v>25</v>
      </c>
      <c r="F164" s="14">
        <v>26</v>
      </c>
      <c r="G164" s="14">
        <v>27</v>
      </c>
      <c r="H164" s="14">
        <v>28</v>
      </c>
      <c r="N164">
        <v>2325.421695</v>
      </c>
    </row>
    <row r="165" spans="1:14" x14ac:dyDescent="0.25">
      <c r="A165" s="15" t="s">
        <v>28</v>
      </c>
      <c r="B165" s="11">
        <f>B156/B157</f>
        <v>3247.2104749999999</v>
      </c>
      <c r="C165" s="11">
        <f t="shared" ref="C165" si="82">C156/C157</f>
        <v>2094.9744999999998</v>
      </c>
      <c r="D165" s="11">
        <f>D156/D157</f>
        <v>2325.421695</v>
      </c>
      <c r="E165" s="11">
        <f t="shared" ref="E165:H165" si="83">E156/E157</f>
        <v>2469.2787862118189</v>
      </c>
      <c r="F165" s="11">
        <f t="shared" si="83"/>
        <v>3512.8532415999998</v>
      </c>
      <c r="G165" s="11">
        <f t="shared" si="83"/>
        <v>3561.4566500000001</v>
      </c>
      <c r="H165" s="11">
        <f t="shared" si="83"/>
        <v>3738.4819952499997</v>
      </c>
      <c r="N165">
        <v>2469.2787862118189</v>
      </c>
    </row>
    <row r="166" spans="1:14" x14ac:dyDescent="0.25">
      <c r="A166" s="16" t="s">
        <v>41</v>
      </c>
      <c r="B166" s="14"/>
      <c r="C166" s="14"/>
      <c r="D166" s="14"/>
      <c r="E166" s="14"/>
      <c r="F166" s="14"/>
      <c r="G166" s="14"/>
      <c r="H166" s="14"/>
      <c r="N166">
        <v>2810.2825932799997</v>
      </c>
    </row>
    <row r="167" spans="1:14" x14ac:dyDescent="0.25">
      <c r="A167" s="15" t="s">
        <v>28</v>
      </c>
      <c r="B167" s="11"/>
      <c r="C167" s="11"/>
      <c r="D167" s="11"/>
      <c r="E167" s="11"/>
      <c r="F167" s="11"/>
      <c r="G167" s="11"/>
      <c r="H167" s="11"/>
      <c r="N167">
        <v>2849.1653200000001</v>
      </c>
    </row>
    <row r="168" spans="1:14" x14ac:dyDescent="0.25">
      <c r="A168" s="16" t="s">
        <v>41</v>
      </c>
      <c r="B168" s="14"/>
      <c r="C168" s="14"/>
      <c r="E168" s="1"/>
      <c r="F168" s="1"/>
      <c r="N168">
        <v>2990.7855961999999</v>
      </c>
    </row>
    <row r="169" spans="1:14" x14ac:dyDescent="0.25">
      <c r="A169" s="15" t="s">
        <v>28</v>
      </c>
      <c r="B169" s="11"/>
      <c r="C169" s="11"/>
      <c r="E169" s="1"/>
      <c r="F169" s="1"/>
      <c r="G169" s="1"/>
    </row>
    <row r="170" spans="1:14" x14ac:dyDescent="0.25">
      <c r="A170" s="16" t="s">
        <v>42</v>
      </c>
      <c r="B170" s="7">
        <f>SUM(B159:H159,B161:H161,B163:H163,B165:H165,B167:H167,B169:C169)</f>
        <v>83798.709372247235</v>
      </c>
      <c r="F170" s="1"/>
    </row>
    <row r="172" spans="1:14" ht="15.75" x14ac:dyDescent="0.25">
      <c r="A172" s="6" t="s">
        <v>28</v>
      </c>
      <c r="B172" s="7">
        <v>22669.57</v>
      </c>
      <c r="C172" s="75" t="s">
        <v>68</v>
      </c>
      <c r="D172" s="76"/>
      <c r="E172" s="76"/>
      <c r="F172" s="76"/>
      <c r="G172" s="76"/>
      <c r="H172" s="76"/>
    </row>
    <row r="173" spans="1:14" x14ac:dyDescent="0.25">
      <c r="B173" s="8">
        <v>0.155</v>
      </c>
      <c r="C173" s="8">
        <v>0.13</v>
      </c>
      <c r="D173" s="8">
        <v>0.14000000000000001</v>
      </c>
      <c r="E173" s="8">
        <v>0.14499999999999999</v>
      </c>
      <c r="F173" s="8">
        <v>0.185</v>
      </c>
      <c r="G173" s="8">
        <v>0.19500000000000001</v>
      </c>
      <c r="H173" s="8">
        <v>0.20499999999999999</v>
      </c>
    </row>
    <row r="174" spans="1:14" x14ac:dyDescent="0.25">
      <c r="B174" s="9" t="s">
        <v>33</v>
      </c>
      <c r="C174" s="9" t="s">
        <v>34</v>
      </c>
      <c r="D174" s="9" t="s">
        <v>35</v>
      </c>
      <c r="E174" s="9" t="s">
        <v>36</v>
      </c>
      <c r="F174" s="9" t="s">
        <v>37</v>
      </c>
      <c r="G174" s="9" t="s">
        <v>38</v>
      </c>
      <c r="H174" s="9" t="s">
        <v>39</v>
      </c>
    </row>
    <row r="175" spans="1:14" x14ac:dyDescent="0.25">
      <c r="A175" s="10"/>
      <c r="B175" s="11"/>
      <c r="C175" s="11">
        <f t="shared" ref="C175:H175" si="84">$B$172*C173</f>
        <v>2947.0441000000001</v>
      </c>
      <c r="D175" s="11">
        <f t="shared" si="84"/>
        <v>3173.7398000000003</v>
      </c>
      <c r="E175" s="11">
        <f t="shared" si="84"/>
        <v>3287.0876499999999</v>
      </c>
      <c r="F175" s="11">
        <f t="shared" si="84"/>
        <v>4193.8704500000003</v>
      </c>
      <c r="G175" s="11">
        <f t="shared" si="84"/>
        <v>4420.5661499999997</v>
      </c>
      <c r="H175" s="11">
        <f t="shared" si="84"/>
        <v>4647.2618499999999</v>
      </c>
    </row>
    <row r="176" spans="1:14" x14ac:dyDescent="0.25">
      <c r="A176" s="10"/>
      <c r="B176" s="12">
        <v>4</v>
      </c>
      <c r="C176" s="12">
        <v>4</v>
      </c>
      <c r="D176" s="12">
        <v>4</v>
      </c>
      <c r="E176" s="12">
        <v>4</v>
      </c>
      <c r="F176" s="12">
        <v>4</v>
      </c>
      <c r="G176" s="12">
        <v>4</v>
      </c>
      <c r="H176" s="12">
        <v>4</v>
      </c>
    </row>
    <row r="177" spans="1:18" x14ac:dyDescent="0.25">
      <c r="A177" s="10"/>
      <c r="B177" s="14">
        <v>1</v>
      </c>
      <c r="C177" s="14">
        <v>2</v>
      </c>
      <c r="D177" s="14">
        <v>3</v>
      </c>
      <c r="E177" s="14">
        <v>4</v>
      </c>
      <c r="F177" s="14">
        <v>5</v>
      </c>
      <c r="G177" s="14">
        <v>6</v>
      </c>
      <c r="H177" s="14">
        <v>7</v>
      </c>
    </row>
    <row r="178" spans="1:18" x14ac:dyDescent="0.25">
      <c r="A178" s="77" t="s">
        <v>41</v>
      </c>
      <c r="B178" s="13">
        <f t="shared" ref="B178:H178" si="85">B175/B176</f>
        <v>0</v>
      </c>
      <c r="C178" s="13">
        <f t="shared" si="85"/>
        <v>736.76102500000002</v>
      </c>
      <c r="D178" s="13">
        <f t="shared" si="85"/>
        <v>793.43495000000007</v>
      </c>
      <c r="E178" s="13">
        <f t="shared" si="85"/>
        <v>821.77191249999998</v>
      </c>
      <c r="F178" s="13">
        <f t="shared" si="85"/>
        <v>1048.4676125000001</v>
      </c>
      <c r="G178" s="13">
        <f t="shared" si="85"/>
        <v>1105.1415374999999</v>
      </c>
      <c r="H178" s="13">
        <f t="shared" si="85"/>
        <v>1161.8154625</v>
      </c>
    </row>
    <row r="179" spans="1:18" x14ac:dyDescent="0.25">
      <c r="A179" s="78"/>
      <c r="B179" s="14">
        <v>8</v>
      </c>
      <c r="C179" s="14">
        <v>9</v>
      </c>
      <c r="D179" s="14">
        <v>10</v>
      </c>
      <c r="E179" s="14">
        <v>11</v>
      </c>
      <c r="F179" s="14">
        <v>12</v>
      </c>
      <c r="G179" s="14">
        <v>13</v>
      </c>
      <c r="H179" s="14">
        <v>14</v>
      </c>
    </row>
    <row r="180" spans="1:18" x14ac:dyDescent="0.25">
      <c r="A180" s="15" t="s">
        <v>28</v>
      </c>
      <c r="B180" s="11">
        <f>B175/B176</f>
        <v>0</v>
      </c>
      <c r="C180" s="11">
        <f t="shared" ref="C180" si="86">C175/C176</f>
        <v>736.76102500000002</v>
      </c>
      <c r="D180" s="11">
        <f>D175/D176</f>
        <v>793.43495000000007</v>
      </c>
      <c r="E180" s="11">
        <f t="shared" ref="E180:H180" si="87">E175/E176</f>
        <v>821.77191249999998</v>
      </c>
      <c r="F180" s="11">
        <f t="shared" si="87"/>
        <v>1048.4676125000001</v>
      </c>
      <c r="G180" s="11">
        <f t="shared" si="87"/>
        <v>1105.1415374999999</v>
      </c>
      <c r="H180" s="11">
        <f t="shared" si="87"/>
        <v>1161.8154625</v>
      </c>
      <c r="M180">
        <v>736.76102500000002</v>
      </c>
      <c r="N180">
        <v>793.43495000000007</v>
      </c>
      <c r="O180">
        <v>821.77191249999998</v>
      </c>
      <c r="P180">
        <v>1048.4676125000001</v>
      </c>
      <c r="Q180">
        <v>1105.1415374999999</v>
      </c>
      <c r="R180">
        <v>1161.8154625</v>
      </c>
    </row>
    <row r="181" spans="1:18" x14ac:dyDescent="0.25">
      <c r="A181" s="16" t="s">
        <v>41</v>
      </c>
      <c r="B181" s="14">
        <v>15</v>
      </c>
      <c r="C181" s="14">
        <v>16</v>
      </c>
      <c r="D181" s="14">
        <v>17</v>
      </c>
      <c r="E181" s="14">
        <v>18</v>
      </c>
      <c r="F181" s="14">
        <v>19</v>
      </c>
      <c r="G181" s="14">
        <v>20</v>
      </c>
      <c r="H181" s="14">
        <v>21</v>
      </c>
    </row>
    <row r="182" spans="1:18" x14ac:dyDescent="0.25">
      <c r="A182" s="15" t="s">
        <v>28</v>
      </c>
      <c r="B182" s="11">
        <f t="shared" ref="B182" si="88">B175/B176</f>
        <v>0</v>
      </c>
      <c r="C182" s="11">
        <f>C175/C176</f>
        <v>736.76102500000002</v>
      </c>
      <c r="D182" s="11">
        <f t="shared" ref="D182:E182" si="89">D175/D176</f>
        <v>793.43495000000007</v>
      </c>
      <c r="E182" s="11">
        <f t="shared" si="89"/>
        <v>821.77191249999998</v>
      </c>
      <c r="F182" s="11">
        <f>F175/F176</f>
        <v>1048.4676125000001</v>
      </c>
      <c r="G182" s="11">
        <f t="shared" ref="G182" si="90">G175/G176</f>
        <v>1105.1415374999999</v>
      </c>
      <c r="H182" s="11">
        <f>H175/H176</f>
        <v>1161.8154625</v>
      </c>
      <c r="M182">
        <v>736.76102500000002</v>
      </c>
    </row>
    <row r="183" spans="1:18" x14ac:dyDescent="0.25">
      <c r="A183" s="16" t="s">
        <v>41</v>
      </c>
      <c r="B183" s="14">
        <v>22</v>
      </c>
      <c r="C183" s="14">
        <v>23</v>
      </c>
      <c r="D183" s="14">
        <v>24</v>
      </c>
      <c r="E183" s="14">
        <v>25</v>
      </c>
      <c r="F183" s="14">
        <v>26</v>
      </c>
      <c r="G183" s="14">
        <v>27</v>
      </c>
      <c r="H183" s="14">
        <v>28</v>
      </c>
      <c r="M183">
        <v>793.43495000000007</v>
      </c>
    </row>
    <row r="184" spans="1:18" x14ac:dyDescent="0.25">
      <c r="A184" s="15" t="s">
        <v>28</v>
      </c>
      <c r="B184" s="11">
        <f>B175/B176</f>
        <v>0</v>
      </c>
      <c r="C184" s="11">
        <f t="shared" ref="C184" si="91">C175/C176</f>
        <v>736.76102500000002</v>
      </c>
      <c r="D184" s="11">
        <f>D175/D176</f>
        <v>793.43495000000007</v>
      </c>
      <c r="E184" s="11">
        <f t="shared" ref="E184:H184" si="92">E175/E176</f>
        <v>821.77191249999998</v>
      </c>
      <c r="F184" s="11">
        <f t="shared" si="92"/>
        <v>1048.4676125000001</v>
      </c>
      <c r="G184" s="11">
        <f t="shared" si="92"/>
        <v>1105.1415374999999</v>
      </c>
      <c r="H184" s="11">
        <f t="shared" si="92"/>
        <v>1161.8154625</v>
      </c>
      <c r="M184">
        <v>821.77191249999998</v>
      </c>
    </row>
    <row r="185" spans="1:18" x14ac:dyDescent="0.25">
      <c r="A185" s="16" t="s">
        <v>41</v>
      </c>
      <c r="B185" s="14"/>
      <c r="C185" s="14"/>
      <c r="D185" s="14"/>
      <c r="E185" s="14"/>
      <c r="F185" s="14"/>
      <c r="G185" s="14"/>
      <c r="H185" s="14"/>
      <c r="M185">
        <v>838.77409000000011</v>
      </c>
    </row>
    <row r="186" spans="1:18" x14ac:dyDescent="0.25">
      <c r="A186" s="15" t="s">
        <v>28</v>
      </c>
      <c r="B186" s="11"/>
      <c r="C186" s="11"/>
      <c r="D186" s="11"/>
      <c r="E186" s="11"/>
      <c r="F186" s="11"/>
      <c r="G186" s="11"/>
      <c r="H186" s="11"/>
      <c r="M186">
        <v>884.11322999999993</v>
      </c>
    </row>
    <row r="187" spans="1:18" x14ac:dyDescent="0.25">
      <c r="A187" s="16" t="s">
        <v>41</v>
      </c>
      <c r="B187" s="14"/>
      <c r="C187" s="14"/>
      <c r="E187" s="1"/>
      <c r="F187" s="1"/>
      <c r="M187">
        <v>929.45236999999997</v>
      </c>
    </row>
    <row r="188" spans="1:18" x14ac:dyDescent="0.25">
      <c r="A188" s="15" t="s">
        <v>28</v>
      </c>
      <c r="B188" s="11"/>
      <c r="C188" s="11"/>
      <c r="E188" s="1"/>
      <c r="F188" s="1"/>
      <c r="G188" s="1"/>
    </row>
    <row r="189" spans="1:18" x14ac:dyDescent="0.25">
      <c r="A189" s="16" t="s">
        <v>42</v>
      </c>
      <c r="B189" s="7">
        <f>SUM(B178:H178,B180:H180,B182:H182,B184:H184,B186:H186,B188:C188)</f>
        <v>22669.57</v>
      </c>
      <c r="F189" s="1"/>
    </row>
    <row r="191" spans="1:18" ht="15.75" x14ac:dyDescent="0.25">
      <c r="A191" s="6" t="s">
        <v>28</v>
      </c>
      <c r="B191" s="7">
        <v>21820</v>
      </c>
      <c r="C191" s="75" t="s">
        <v>69</v>
      </c>
      <c r="D191" s="76"/>
      <c r="E191" s="76"/>
      <c r="F191" s="76"/>
      <c r="G191" s="76"/>
      <c r="H191" s="76"/>
    </row>
    <row r="192" spans="1:18" x14ac:dyDescent="0.25">
      <c r="B192" s="8">
        <v>0.155</v>
      </c>
      <c r="C192" s="8">
        <v>0.13</v>
      </c>
      <c r="D192" s="8">
        <v>0.14000000000000001</v>
      </c>
      <c r="E192" s="8">
        <v>0.14499999999999999</v>
      </c>
      <c r="F192" s="8">
        <v>0.185</v>
      </c>
      <c r="G192" s="8">
        <v>0.19500000000000001</v>
      </c>
      <c r="H192" s="8">
        <v>0.20499999999999999</v>
      </c>
    </row>
    <row r="193" spans="1:17" x14ac:dyDescent="0.25">
      <c r="B193" s="9" t="s">
        <v>33</v>
      </c>
      <c r="C193" s="9" t="s">
        <v>34</v>
      </c>
      <c r="D193" s="9" t="s">
        <v>35</v>
      </c>
      <c r="E193" s="9" t="s">
        <v>36</v>
      </c>
      <c r="F193" s="9" t="s">
        <v>37</v>
      </c>
      <c r="G193" s="9" t="s">
        <v>38</v>
      </c>
      <c r="H193" s="9" t="s">
        <v>39</v>
      </c>
    </row>
    <row r="194" spans="1:17" x14ac:dyDescent="0.25">
      <c r="A194" s="10"/>
      <c r="B194" s="11"/>
      <c r="C194" s="11">
        <f>$B$191*C192</f>
        <v>2836.6</v>
      </c>
      <c r="D194" s="11">
        <f t="shared" ref="D194:H194" si="93">$B$191*D192</f>
        <v>3054.8</v>
      </c>
      <c r="E194" s="11">
        <f t="shared" si="93"/>
        <v>3163.8999999999996</v>
      </c>
      <c r="F194" s="11">
        <f t="shared" si="93"/>
        <v>4036.7</v>
      </c>
      <c r="G194" s="11">
        <f t="shared" si="93"/>
        <v>4254.9000000000005</v>
      </c>
      <c r="H194" s="11">
        <f t="shared" si="93"/>
        <v>4473.0999999999995</v>
      </c>
    </row>
    <row r="195" spans="1:17" x14ac:dyDescent="0.25">
      <c r="A195" s="10"/>
      <c r="B195" s="12">
        <v>4</v>
      </c>
      <c r="C195" s="12">
        <v>4</v>
      </c>
      <c r="D195" s="12">
        <v>4</v>
      </c>
      <c r="E195" s="12">
        <v>4</v>
      </c>
      <c r="F195" s="12">
        <v>4</v>
      </c>
      <c r="G195" s="12">
        <v>4</v>
      </c>
      <c r="H195" s="12">
        <v>4</v>
      </c>
    </row>
    <row r="196" spans="1:17" x14ac:dyDescent="0.25">
      <c r="A196" s="10"/>
      <c r="B196" s="14">
        <v>1</v>
      </c>
      <c r="C196" s="14">
        <v>2</v>
      </c>
      <c r="D196" s="14">
        <v>3</v>
      </c>
      <c r="E196" s="14">
        <v>4</v>
      </c>
      <c r="F196" s="14">
        <v>5</v>
      </c>
      <c r="G196" s="14">
        <v>6</v>
      </c>
      <c r="H196" s="14">
        <v>7</v>
      </c>
    </row>
    <row r="197" spans="1:17" x14ac:dyDescent="0.25">
      <c r="A197" s="77" t="s">
        <v>41</v>
      </c>
      <c r="B197" s="13">
        <f t="shared" ref="B197:H197" si="94">B194/B195</f>
        <v>0</v>
      </c>
      <c r="C197" s="13">
        <f t="shared" si="94"/>
        <v>709.15</v>
      </c>
      <c r="D197" s="13">
        <f t="shared" si="94"/>
        <v>763.7</v>
      </c>
      <c r="E197" s="13">
        <f t="shared" si="94"/>
        <v>790.97499999999991</v>
      </c>
      <c r="F197" s="13">
        <f t="shared" si="94"/>
        <v>1009.175</v>
      </c>
      <c r="G197" s="13">
        <f t="shared" si="94"/>
        <v>1063.7250000000001</v>
      </c>
      <c r="H197" s="13">
        <f t="shared" si="94"/>
        <v>1118.2749999999999</v>
      </c>
      <c r="L197">
        <v>709.15</v>
      </c>
      <c r="M197">
        <v>763.7</v>
      </c>
      <c r="N197">
        <v>790.97499999999991</v>
      </c>
      <c r="O197">
        <v>1009.175</v>
      </c>
      <c r="P197">
        <v>1063.7250000000001</v>
      </c>
      <c r="Q197">
        <v>1118.2749999999999</v>
      </c>
    </row>
    <row r="198" spans="1:17" x14ac:dyDescent="0.25">
      <c r="A198" s="78"/>
      <c r="B198" s="14">
        <v>8</v>
      </c>
      <c r="C198" s="14">
        <v>9</v>
      </c>
      <c r="D198" s="14">
        <v>10</v>
      </c>
      <c r="E198" s="14">
        <v>11</v>
      </c>
      <c r="F198" s="14">
        <v>12</v>
      </c>
      <c r="G198" s="14">
        <v>13</v>
      </c>
      <c r="H198" s="14">
        <v>14</v>
      </c>
    </row>
    <row r="199" spans="1:17" x14ac:dyDescent="0.25">
      <c r="A199" s="15" t="s">
        <v>28</v>
      </c>
      <c r="B199" s="11">
        <f>B194/B195</f>
        <v>0</v>
      </c>
      <c r="C199" s="11">
        <f t="shared" ref="C199" si="95">C194/C195</f>
        <v>709.15</v>
      </c>
      <c r="D199" s="11">
        <f>D194/D195</f>
        <v>763.7</v>
      </c>
      <c r="E199" s="11">
        <f t="shared" ref="E199:H199" si="96">E194/E195</f>
        <v>790.97499999999991</v>
      </c>
      <c r="F199" s="11">
        <f t="shared" si="96"/>
        <v>1009.175</v>
      </c>
      <c r="G199" s="11">
        <f t="shared" si="96"/>
        <v>1063.7250000000001</v>
      </c>
      <c r="H199" s="11">
        <f t="shared" si="96"/>
        <v>1118.2749999999999</v>
      </c>
      <c r="L199">
        <v>856.8</v>
      </c>
      <c r="M199">
        <v>709.15</v>
      </c>
    </row>
    <row r="200" spans="1:17" x14ac:dyDescent="0.25">
      <c r="A200" s="16" t="s">
        <v>41</v>
      </c>
      <c r="B200" s="14">
        <v>15</v>
      </c>
      <c r="C200" s="14">
        <v>16</v>
      </c>
      <c r="D200" s="14">
        <v>17</v>
      </c>
      <c r="E200" s="14">
        <v>18</v>
      </c>
      <c r="F200" s="14">
        <v>19</v>
      </c>
      <c r="G200" s="14">
        <v>20</v>
      </c>
      <c r="H200" s="14">
        <v>21</v>
      </c>
      <c r="L200">
        <v>705.60000000000014</v>
      </c>
      <c r="M200">
        <v>763.7</v>
      </c>
    </row>
    <row r="201" spans="1:17" x14ac:dyDescent="0.25">
      <c r="A201" s="15" t="s">
        <v>28</v>
      </c>
      <c r="B201" s="11">
        <f t="shared" ref="B201" si="97">B194/B195</f>
        <v>0</v>
      </c>
      <c r="C201" s="11">
        <f>C194/C195</f>
        <v>709.15</v>
      </c>
      <c r="D201" s="11">
        <f t="shared" ref="D201:E201" si="98">D194/D195</f>
        <v>763.7</v>
      </c>
      <c r="E201" s="11">
        <f t="shared" si="98"/>
        <v>790.97499999999991</v>
      </c>
      <c r="F201" s="11">
        <f>F194/F195</f>
        <v>1009.175</v>
      </c>
      <c r="G201" s="11">
        <f t="shared" ref="G201" si="99">G194/G195</f>
        <v>1063.7250000000001</v>
      </c>
      <c r="H201" s="11">
        <f>H194/H195</f>
        <v>1118.2749999999999</v>
      </c>
      <c r="L201">
        <v>806.4</v>
      </c>
      <c r="M201">
        <v>790.97499999999991</v>
      </c>
    </row>
    <row r="202" spans="1:17" x14ac:dyDescent="0.25">
      <c r="A202" s="16" t="s">
        <v>41</v>
      </c>
      <c r="B202" s="14">
        <v>22</v>
      </c>
      <c r="C202" s="14">
        <v>23</v>
      </c>
      <c r="D202" s="14">
        <v>24</v>
      </c>
      <c r="E202" s="14">
        <v>25</v>
      </c>
      <c r="F202" s="14">
        <v>26</v>
      </c>
      <c r="G202" s="14">
        <v>27</v>
      </c>
      <c r="H202" s="14">
        <v>28</v>
      </c>
      <c r="L202">
        <v>1134</v>
      </c>
      <c r="M202">
        <v>807.33999999999992</v>
      </c>
    </row>
    <row r="203" spans="1:17" x14ac:dyDescent="0.25">
      <c r="A203" s="15" t="s">
        <v>28</v>
      </c>
      <c r="B203" s="11">
        <f>B194/B195</f>
        <v>0</v>
      </c>
      <c r="C203" s="11">
        <f t="shared" ref="C203" si="100">C194/C195</f>
        <v>709.15</v>
      </c>
      <c r="D203" s="11">
        <f>D194/D195</f>
        <v>763.7</v>
      </c>
      <c r="E203" s="11">
        <f t="shared" ref="E203:H203" si="101">E194/E195</f>
        <v>790.97499999999991</v>
      </c>
      <c r="F203" s="11">
        <f t="shared" si="101"/>
        <v>1009.175</v>
      </c>
      <c r="G203" s="11">
        <f t="shared" si="101"/>
        <v>1063.7250000000001</v>
      </c>
      <c r="H203" s="11">
        <f t="shared" si="101"/>
        <v>1118.2749999999999</v>
      </c>
      <c r="L203">
        <v>1260</v>
      </c>
      <c r="M203">
        <v>850.98000000000013</v>
      </c>
    </row>
    <row r="204" spans="1:17" x14ac:dyDescent="0.25">
      <c r="A204" s="16" t="s">
        <v>41</v>
      </c>
      <c r="B204" s="14"/>
      <c r="C204" s="14"/>
      <c r="D204" s="14"/>
      <c r="E204" s="14"/>
      <c r="F204" s="14"/>
      <c r="G204" s="14"/>
      <c r="H204" s="14"/>
      <c r="L204">
        <v>945</v>
      </c>
      <c r="M204">
        <v>894.61999999999989</v>
      </c>
    </row>
    <row r="205" spans="1:17" x14ac:dyDescent="0.25">
      <c r="A205" s="15" t="s">
        <v>28</v>
      </c>
      <c r="B205" s="11"/>
      <c r="C205" s="11"/>
      <c r="D205" s="11"/>
      <c r="E205" s="11"/>
      <c r="F205" s="11"/>
      <c r="G205" s="11"/>
      <c r="H205" s="11"/>
    </row>
    <row r="206" spans="1:17" x14ac:dyDescent="0.25">
      <c r="A206" s="16" t="s">
        <v>41</v>
      </c>
      <c r="B206" s="14"/>
      <c r="C206" s="14"/>
      <c r="E206" s="1"/>
      <c r="F206" s="1"/>
    </row>
    <row r="207" spans="1:17" x14ac:dyDescent="0.25">
      <c r="A207" s="15" t="s">
        <v>28</v>
      </c>
      <c r="B207" s="11"/>
      <c r="C207" s="11"/>
      <c r="E207" s="1"/>
      <c r="F207" s="1"/>
      <c r="G207" s="1"/>
    </row>
    <row r="208" spans="1:17" x14ac:dyDescent="0.25">
      <c r="A208" s="16" t="s">
        <v>42</v>
      </c>
      <c r="B208" s="7">
        <f>SUM(B197:H197,B199:H199,B201:H201,B203:H203,B205:H205,B207:C207)</f>
        <v>21819.999999999996</v>
      </c>
      <c r="F208" s="1"/>
    </row>
    <row r="210" spans="1:20" ht="15.75" x14ac:dyDescent="0.25">
      <c r="A210" s="6" t="s">
        <v>28</v>
      </c>
      <c r="B210" s="7">
        <v>36834.43</v>
      </c>
      <c r="C210" s="75" t="s">
        <v>70</v>
      </c>
      <c r="D210" s="76"/>
      <c r="E210" s="76"/>
      <c r="F210" s="76"/>
      <c r="G210" s="76"/>
      <c r="H210" s="76"/>
    </row>
    <row r="211" spans="1:20" x14ac:dyDescent="0.25">
      <c r="B211" s="8">
        <v>0.155</v>
      </c>
      <c r="C211" s="8">
        <v>0.13</v>
      </c>
      <c r="D211" s="8">
        <v>0.14000000000000001</v>
      </c>
      <c r="E211" s="8">
        <v>0.14499999999999999</v>
      </c>
      <c r="F211" s="8">
        <v>0.185</v>
      </c>
      <c r="G211" s="8">
        <v>0.19500000000000001</v>
      </c>
      <c r="H211" s="8">
        <v>0.20499999999999999</v>
      </c>
    </row>
    <row r="212" spans="1:20" x14ac:dyDescent="0.25">
      <c r="B212" s="9" t="s">
        <v>33</v>
      </c>
      <c r="C212" s="9" t="s">
        <v>34</v>
      </c>
      <c r="D212" s="9" t="s">
        <v>35</v>
      </c>
      <c r="E212" s="9" t="s">
        <v>36</v>
      </c>
      <c r="F212" s="9" t="s">
        <v>37</v>
      </c>
      <c r="G212" s="9" t="s">
        <v>38</v>
      </c>
      <c r="H212" s="9" t="s">
        <v>39</v>
      </c>
    </row>
    <row r="213" spans="1:20" x14ac:dyDescent="0.25">
      <c r="A213" s="10"/>
      <c r="B213" s="11"/>
      <c r="C213" s="11">
        <f>$B$210*C211</f>
        <v>4788.4759000000004</v>
      </c>
      <c r="D213" s="11">
        <f t="shared" ref="D213:H213" si="102">$B$210*D211</f>
        <v>5156.8202000000001</v>
      </c>
      <c r="E213" s="11">
        <f t="shared" si="102"/>
        <v>5340.9923499999995</v>
      </c>
      <c r="F213" s="11">
        <f t="shared" si="102"/>
        <v>6814.3695500000003</v>
      </c>
      <c r="G213" s="11">
        <f t="shared" si="102"/>
        <v>7182.7138500000001</v>
      </c>
      <c r="H213" s="11">
        <f t="shared" si="102"/>
        <v>7551.0581499999998</v>
      </c>
    </row>
    <row r="214" spans="1:20" x14ac:dyDescent="0.25">
      <c r="A214" s="10"/>
      <c r="B214" s="12">
        <v>4</v>
      </c>
      <c r="C214" s="12">
        <v>4</v>
      </c>
      <c r="D214" s="12">
        <v>4</v>
      </c>
      <c r="E214" s="12">
        <v>4</v>
      </c>
      <c r="F214" s="12">
        <v>4</v>
      </c>
      <c r="G214" s="12">
        <v>4</v>
      </c>
      <c r="H214" s="12">
        <v>4</v>
      </c>
    </row>
    <row r="215" spans="1:20" x14ac:dyDescent="0.25">
      <c r="A215" s="10"/>
      <c r="B215" s="14">
        <v>1</v>
      </c>
      <c r="C215" s="14">
        <v>2</v>
      </c>
      <c r="D215" s="14">
        <v>3</v>
      </c>
      <c r="E215" s="14">
        <v>4</v>
      </c>
      <c r="F215" s="14">
        <v>5</v>
      </c>
      <c r="G215" s="14">
        <v>6</v>
      </c>
      <c r="H215" s="14">
        <v>7</v>
      </c>
      <c r="M215">
        <v>1197.1189750000001</v>
      </c>
      <c r="O215">
        <v>1197.1189750000001</v>
      </c>
      <c r="P215">
        <v>1289.20505</v>
      </c>
      <c r="Q215">
        <v>1335.2480874999999</v>
      </c>
      <c r="R215">
        <v>1703.5923875000001</v>
      </c>
      <c r="S215">
        <v>1795.6784625</v>
      </c>
      <c r="T215">
        <v>1887.7645375</v>
      </c>
    </row>
    <row r="216" spans="1:20" x14ac:dyDescent="0.25">
      <c r="A216" s="77" t="s">
        <v>41</v>
      </c>
      <c r="B216" s="13">
        <f t="shared" ref="B216:H216" si="103">B213/B214</f>
        <v>0</v>
      </c>
      <c r="C216" s="13">
        <f t="shared" si="103"/>
        <v>1197.1189750000001</v>
      </c>
      <c r="D216" s="13">
        <f t="shared" si="103"/>
        <v>1289.20505</v>
      </c>
      <c r="E216" s="13">
        <f t="shared" si="103"/>
        <v>1335.2480874999999</v>
      </c>
      <c r="F216" s="13">
        <f t="shared" si="103"/>
        <v>1703.5923875000001</v>
      </c>
      <c r="G216" s="13">
        <f t="shared" si="103"/>
        <v>1795.6784625</v>
      </c>
      <c r="H216" s="13">
        <f t="shared" si="103"/>
        <v>1887.7645375</v>
      </c>
      <c r="M216">
        <v>1289.20505</v>
      </c>
    </row>
    <row r="217" spans="1:20" x14ac:dyDescent="0.25">
      <c r="A217" s="78"/>
      <c r="B217" s="14">
        <v>8</v>
      </c>
      <c r="C217" s="14">
        <v>9</v>
      </c>
      <c r="D217" s="14">
        <v>10</v>
      </c>
      <c r="E217" s="14">
        <v>11</v>
      </c>
      <c r="F217" s="14">
        <v>12</v>
      </c>
      <c r="G217" s="14">
        <v>13</v>
      </c>
      <c r="H217" s="14">
        <v>14</v>
      </c>
      <c r="M217">
        <v>1335.2480874999999</v>
      </c>
    </row>
    <row r="218" spans="1:20" x14ac:dyDescent="0.25">
      <c r="A218" s="15" t="s">
        <v>28</v>
      </c>
      <c r="B218" s="11">
        <f>B213/B214</f>
        <v>0</v>
      </c>
      <c r="C218" s="11">
        <f t="shared" ref="C218" si="104">C213/C214</f>
        <v>1197.1189750000001</v>
      </c>
      <c r="D218" s="11">
        <f>D213/D214</f>
        <v>1289.20505</v>
      </c>
      <c r="E218" s="11">
        <f t="shared" ref="E218:H218" si="105">E213/E214</f>
        <v>1335.2480874999999</v>
      </c>
      <c r="F218" s="11">
        <f t="shared" si="105"/>
        <v>1703.5923875000001</v>
      </c>
      <c r="G218" s="11">
        <f t="shared" si="105"/>
        <v>1795.6784625</v>
      </c>
      <c r="H218" s="11">
        <f t="shared" si="105"/>
        <v>1887.7645375</v>
      </c>
      <c r="M218">
        <v>1362.87391</v>
      </c>
    </row>
    <row r="219" spans="1:20" x14ac:dyDescent="0.25">
      <c r="A219" s="16" t="s">
        <v>41</v>
      </c>
      <c r="B219" s="14">
        <v>15</v>
      </c>
      <c r="C219" s="14">
        <v>16</v>
      </c>
      <c r="D219" s="14">
        <v>17</v>
      </c>
      <c r="E219" s="14">
        <v>18</v>
      </c>
      <c r="F219" s="14">
        <v>19</v>
      </c>
      <c r="G219" s="14">
        <v>20</v>
      </c>
      <c r="H219" s="14">
        <v>21</v>
      </c>
      <c r="M219">
        <v>1436.54277</v>
      </c>
    </row>
    <row r="220" spans="1:20" x14ac:dyDescent="0.25">
      <c r="A220" s="15" t="s">
        <v>28</v>
      </c>
      <c r="B220" s="11">
        <f t="shared" ref="B220" si="106">B213/B214</f>
        <v>0</v>
      </c>
      <c r="C220" s="11">
        <f>C213/C214</f>
        <v>1197.1189750000001</v>
      </c>
      <c r="D220" s="11">
        <f t="shared" ref="D220:E220" si="107">D213/D214</f>
        <v>1289.20505</v>
      </c>
      <c r="E220" s="11">
        <f t="shared" si="107"/>
        <v>1335.2480874999999</v>
      </c>
      <c r="F220" s="11">
        <f>F213/F214</f>
        <v>1703.5923875000001</v>
      </c>
      <c r="G220" s="11">
        <f t="shared" ref="G220" si="108">G213/G214</f>
        <v>1795.6784625</v>
      </c>
      <c r="H220" s="11">
        <f>H213/H214</f>
        <v>1887.7645375</v>
      </c>
      <c r="M220">
        <v>1510.21163</v>
      </c>
    </row>
    <row r="221" spans="1:20" x14ac:dyDescent="0.25">
      <c r="A221" s="16" t="s">
        <v>41</v>
      </c>
      <c r="B221" s="14">
        <v>22</v>
      </c>
      <c r="C221" s="14">
        <v>23</v>
      </c>
      <c r="D221" s="14">
        <v>24</v>
      </c>
      <c r="E221" s="14">
        <v>25</v>
      </c>
      <c r="F221" s="14">
        <v>26</v>
      </c>
      <c r="G221" s="14">
        <v>27</v>
      </c>
      <c r="H221" s="14">
        <v>28</v>
      </c>
    </row>
    <row r="222" spans="1:20" x14ac:dyDescent="0.25">
      <c r="A222" s="15" t="s">
        <v>28</v>
      </c>
      <c r="B222" s="11">
        <f>B213/B214</f>
        <v>0</v>
      </c>
      <c r="C222" s="11">
        <f t="shared" ref="C222" si="109">C213/C214</f>
        <v>1197.1189750000001</v>
      </c>
      <c r="D222" s="11">
        <f>D213/D214</f>
        <v>1289.20505</v>
      </c>
      <c r="E222" s="11">
        <f t="shared" ref="E222:H222" si="110">E213/E214</f>
        <v>1335.2480874999999</v>
      </c>
      <c r="F222" s="11">
        <f t="shared" si="110"/>
        <v>1703.5923875000001</v>
      </c>
      <c r="G222" s="11">
        <f t="shared" si="110"/>
        <v>1795.6784625</v>
      </c>
      <c r="H222" s="11">
        <f t="shared" si="110"/>
        <v>1887.7645375</v>
      </c>
    </row>
    <row r="223" spans="1:20" x14ac:dyDescent="0.25">
      <c r="A223" s="16" t="s">
        <v>41</v>
      </c>
      <c r="B223" s="14"/>
      <c r="C223" s="14"/>
      <c r="D223" s="14"/>
      <c r="E223" s="14"/>
      <c r="F223" s="14"/>
      <c r="G223" s="14"/>
      <c r="H223" s="14"/>
    </row>
    <row r="224" spans="1:20" x14ac:dyDescent="0.25">
      <c r="A224" s="15" t="s">
        <v>28</v>
      </c>
      <c r="B224" s="11"/>
      <c r="C224" s="11"/>
      <c r="D224" s="11"/>
      <c r="E224" s="11"/>
      <c r="F224" s="11"/>
      <c r="G224" s="11"/>
      <c r="H224" s="11"/>
    </row>
    <row r="225" spans="1:19" x14ac:dyDescent="0.25">
      <c r="A225" s="16" t="s">
        <v>41</v>
      </c>
      <c r="B225" s="14"/>
      <c r="C225" s="14"/>
      <c r="E225" s="1"/>
      <c r="F225" s="1"/>
    </row>
    <row r="226" spans="1:19" x14ac:dyDescent="0.25">
      <c r="A226" s="15" t="s">
        <v>28</v>
      </c>
      <c r="B226" s="11"/>
      <c r="C226" s="11"/>
      <c r="E226" s="1"/>
      <c r="F226" s="1"/>
      <c r="G226" s="1"/>
    </row>
    <row r="227" spans="1:19" x14ac:dyDescent="0.25">
      <c r="A227" s="16" t="s">
        <v>42</v>
      </c>
      <c r="B227" s="7">
        <f>SUM(B216:H216,B218:H218,B220:H220,B222:H222,B224:H224,B226:C226)</f>
        <v>36834.43</v>
      </c>
      <c r="F227" s="1"/>
    </row>
    <row r="228" spans="1:19" x14ac:dyDescent="0.25">
      <c r="N228">
        <v>462.50749999999999</v>
      </c>
      <c r="O228">
        <v>498.08500000000004</v>
      </c>
      <c r="P228">
        <v>515.87374999999997</v>
      </c>
      <c r="Q228">
        <v>658.18375000000003</v>
      </c>
      <c r="R228">
        <v>693.76125000000002</v>
      </c>
      <c r="S228">
        <v>729.33875</v>
      </c>
    </row>
    <row r="229" spans="1:19" ht="15.75" x14ac:dyDescent="0.25">
      <c r="A229" s="6" t="s">
        <v>28</v>
      </c>
      <c r="B229" s="7">
        <v>14231</v>
      </c>
      <c r="C229" s="75" t="s">
        <v>71</v>
      </c>
      <c r="D229" s="76"/>
      <c r="E229" s="76"/>
      <c r="F229" s="76"/>
      <c r="G229" s="76"/>
      <c r="H229" s="76"/>
    </row>
    <row r="230" spans="1:19" x14ac:dyDescent="0.25">
      <c r="B230" s="8">
        <v>0.155</v>
      </c>
      <c r="C230" s="8">
        <v>0.13</v>
      </c>
      <c r="D230" s="8">
        <v>0.14000000000000001</v>
      </c>
      <c r="E230" s="8">
        <v>0.14499999999999999</v>
      </c>
      <c r="F230" s="8">
        <v>0.185</v>
      </c>
      <c r="G230" s="8">
        <v>0.19500000000000001</v>
      </c>
      <c r="H230" s="8">
        <v>0.20499999999999999</v>
      </c>
      <c r="M230">
        <v>462.50749999999999</v>
      </c>
    </row>
    <row r="231" spans="1:19" x14ac:dyDescent="0.25">
      <c r="B231" s="9" t="s">
        <v>33</v>
      </c>
      <c r="C231" s="9" t="s">
        <v>34</v>
      </c>
      <c r="D231" s="9" t="s">
        <v>35</v>
      </c>
      <c r="E231" s="9" t="s">
        <v>36</v>
      </c>
      <c r="F231" s="9" t="s">
        <v>37</v>
      </c>
      <c r="G231" s="9" t="s">
        <v>38</v>
      </c>
      <c r="H231" s="9" t="s">
        <v>39</v>
      </c>
      <c r="M231">
        <v>498.08500000000004</v>
      </c>
    </row>
    <row r="232" spans="1:19" x14ac:dyDescent="0.25">
      <c r="A232" s="10"/>
      <c r="B232" s="11"/>
      <c r="C232" s="11">
        <f>$B$229*C230</f>
        <v>1850.03</v>
      </c>
      <c r="D232" s="11">
        <f t="shared" ref="D232:H232" si="111">$B$229*D230</f>
        <v>1992.3400000000001</v>
      </c>
      <c r="E232" s="11">
        <f t="shared" si="111"/>
        <v>2063.4949999999999</v>
      </c>
      <c r="F232" s="11">
        <f t="shared" si="111"/>
        <v>2632.7350000000001</v>
      </c>
      <c r="G232" s="11">
        <f t="shared" si="111"/>
        <v>2775.0450000000001</v>
      </c>
      <c r="H232" s="11">
        <f t="shared" si="111"/>
        <v>2917.355</v>
      </c>
      <c r="M232">
        <v>515.87374999999997</v>
      </c>
    </row>
    <row r="233" spans="1:19" x14ac:dyDescent="0.25">
      <c r="A233" s="10"/>
      <c r="B233" s="12">
        <v>4</v>
      </c>
      <c r="C233" s="12">
        <v>4</v>
      </c>
      <c r="D233" s="12">
        <v>4</v>
      </c>
      <c r="E233" s="12">
        <v>4</v>
      </c>
      <c r="F233" s="12">
        <v>4</v>
      </c>
      <c r="G233" s="12">
        <v>4</v>
      </c>
      <c r="H233" s="12">
        <v>4</v>
      </c>
      <c r="M233">
        <v>526.54700000000003</v>
      </c>
    </row>
    <row r="234" spans="1:19" x14ac:dyDescent="0.25">
      <c r="A234" s="10"/>
      <c r="B234" s="14">
        <v>1</v>
      </c>
      <c r="C234" s="14">
        <v>2</v>
      </c>
      <c r="D234" s="14">
        <v>3</v>
      </c>
      <c r="E234" s="14">
        <v>4</v>
      </c>
      <c r="F234" s="14">
        <v>5</v>
      </c>
      <c r="G234" s="14">
        <v>6</v>
      </c>
      <c r="H234" s="14">
        <v>7</v>
      </c>
      <c r="M234">
        <v>555.00900000000001</v>
      </c>
    </row>
    <row r="235" spans="1:19" x14ac:dyDescent="0.25">
      <c r="A235" s="77" t="s">
        <v>41</v>
      </c>
      <c r="B235" s="13">
        <f t="shared" ref="B235:H235" si="112">B232/B233</f>
        <v>0</v>
      </c>
      <c r="C235" s="13">
        <f t="shared" si="112"/>
        <v>462.50749999999999</v>
      </c>
      <c r="D235" s="13">
        <f t="shared" si="112"/>
        <v>498.08500000000004</v>
      </c>
      <c r="E235" s="13">
        <f t="shared" si="112"/>
        <v>515.87374999999997</v>
      </c>
      <c r="F235" s="13">
        <f t="shared" si="112"/>
        <v>658.18375000000003</v>
      </c>
      <c r="G235" s="13">
        <f t="shared" si="112"/>
        <v>693.76125000000002</v>
      </c>
      <c r="H235" s="13">
        <f t="shared" si="112"/>
        <v>729.33875</v>
      </c>
      <c r="M235">
        <v>583.471</v>
      </c>
    </row>
    <row r="236" spans="1:19" x14ac:dyDescent="0.25">
      <c r="A236" s="78"/>
      <c r="B236" s="14">
        <v>8</v>
      </c>
      <c r="C236" s="14">
        <v>9</v>
      </c>
      <c r="D236" s="14">
        <v>10</v>
      </c>
      <c r="E236" s="14">
        <v>11</v>
      </c>
      <c r="F236" s="14">
        <v>12</v>
      </c>
      <c r="G236" s="14">
        <v>13</v>
      </c>
      <c r="H236" s="14">
        <v>14</v>
      </c>
    </row>
    <row r="237" spans="1:19" x14ac:dyDescent="0.25">
      <c r="A237" s="15" t="s">
        <v>28</v>
      </c>
      <c r="B237" s="11">
        <f>B232/B233</f>
        <v>0</v>
      </c>
      <c r="C237" s="11">
        <f t="shared" ref="C237" si="113">C232/C233</f>
        <v>462.50749999999999</v>
      </c>
      <c r="D237" s="11">
        <f>D232/D233</f>
        <v>498.08500000000004</v>
      </c>
      <c r="E237" s="11">
        <f t="shared" ref="E237:H237" si="114">E232/E233</f>
        <v>515.87374999999997</v>
      </c>
      <c r="F237" s="11">
        <f t="shared" si="114"/>
        <v>658.18375000000003</v>
      </c>
      <c r="G237" s="11">
        <f t="shared" si="114"/>
        <v>693.76125000000002</v>
      </c>
      <c r="H237" s="11">
        <f t="shared" si="114"/>
        <v>729.33875</v>
      </c>
    </row>
    <row r="238" spans="1:19" x14ac:dyDescent="0.25">
      <c r="A238" s="16" t="s">
        <v>41</v>
      </c>
      <c r="B238" s="14">
        <v>15</v>
      </c>
      <c r="C238" s="14">
        <v>16</v>
      </c>
      <c r="D238" s="14">
        <v>17</v>
      </c>
      <c r="E238" s="14">
        <v>18</v>
      </c>
      <c r="F238" s="14">
        <v>19</v>
      </c>
      <c r="G238" s="14">
        <v>20</v>
      </c>
      <c r="H238" s="14">
        <v>21</v>
      </c>
    </row>
    <row r="239" spans="1:19" x14ac:dyDescent="0.25">
      <c r="A239" s="15" t="s">
        <v>28</v>
      </c>
      <c r="B239" s="11">
        <f t="shared" ref="B239" si="115">B232/B233</f>
        <v>0</v>
      </c>
      <c r="C239" s="11">
        <f>C232/C233</f>
        <v>462.50749999999999</v>
      </c>
      <c r="D239" s="11">
        <f t="shared" ref="D239:E239" si="116">D232/D233</f>
        <v>498.08500000000004</v>
      </c>
      <c r="E239" s="11">
        <f t="shared" si="116"/>
        <v>515.87374999999997</v>
      </c>
      <c r="F239" s="11">
        <f>F232/F233</f>
        <v>658.18375000000003</v>
      </c>
      <c r="G239" s="11">
        <f t="shared" ref="G239" si="117">G232/G233</f>
        <v>693.76125000000002</v>
      </c>
      <c r="H239" s="11">
        <f>H232/H233</f>
        <v>729.33875</v>
      </c>
    </row>
    <row r="240" spans="1:19" x14ac:dyDescent="0.25">
      <c r="A240" s="16" t="s">
        <v>41</v>
      </c>
      <c r="B240" s="14">
        <v>22</v>
      </c>
      <c r="C240" s="14">
        <v>23</v>
      </c>
      <c r="D240" s="14">
        <v>24</v>
      </c>
      <c r="E240" s="14">
        <v>25</v>
      </c>
      <c r="F240" s="14">
        <v>26</v>
      </c>
      <c r="G240" s="14">
        <v>27</v>
      </c>
      <c r="H240" s="14">
        <v>28</v>
      </c>
    </row>
    <row r="241" spans="1:8" x14ac:dyDescent="0.25">
      <c r="A241" s="15" t="s">
        <v>28</v>
      </c>
      <c r="B241" s="11">
        <f>B232/B233</f>
        <v>0</v>
      </c>
      <c r="C241" s="11">
        <f t="shared" ref="C241" si="118">C232/C233</f>
        <v>462.50749999999999</v>
      </c>
      <c r="D241" s="11">
        <f>D232/D233</f>
        <v>498.08500000000004</v>
      </c>
      <c r="E241" s="11">
        <f t="shared" ref="E241:H241" si="119">E232/E233</f>
        <v>515.87374999999997</v>
      </c>
      <c r="F241" s="11">
        <f t="shared" si="119"/>
        <v>658.18375000000003</v>
      </c>
      <c r="G241" s="11">
        <f t="shared" si="119"/>
        <v>693.76125000000002</v>
      </c>
      <c r="H241" s="11">
        <f t="shared" si="119"/>
        <v>729.33875</v>
      </c>
    </row>
    <row r="242" spans="1:8" x14ac:dyDescent="0.25">
      <c r="A242" s="16" t="s">
        <v>41</v>
      </c>
      <c r="B242" s="14"/>
      <c r="C242" s="14"/>
      <c r="D242" s="14"/>
      <c r="E242" s="14"/>
      <c r="F242" s="14"/>
      <c r="G242" s="14"/>
      <c r="H242" s="14"/>
    </row>
    <row r="243" spans="1:8" x14ac:dyDescent="0.25">
      <c r="A243" s="15" t="s">
        <v>28</v>
      </c>
      <c r="B243" s="11"/>
      <c r="C243" s="11"/>
      <c r="D243" s="11"/>
      <c r="E243" s="11"/>
      <c r="F243" s="11"/>
      <c r="G243" s="11"/>
      <c r="H243" s="11"/>
    </row>
    <row r="244" spans="1:8" x14ac:dyDescent="0.25">
      <c r="A244" s="16" t="s">
        <v>41</v>
      </c>
      <c r="B244" s="14"/>
      <c r="C244" s="14"/>
      <c r="E244" s="1"/>
      <c r="F244" s="1"/>
    </row>
    <row r="245" spans="1:8" x14ac:dyDescent="0.25">
      <c r="A245" s="15" t="s">
        <v>28</v>
      </c>
      <c r="B245" s="11"/>
      <c r="C245" s="11"/>
      <c r="E245" s="1"/>
      <c r="F245" s="1"/>
      <c r="G245" s="1"/>
    </row>
    <row r="246" spans="1:8" x14ac:dyDescent="0.25">
      <c r="A246" s="16" t="s">
        <v>42</v>
      </c>
      <c r="B246" s="7">
        <f>SUM(B235:H235,B237:H237,B239:H239,B241:H241,B243:H243,B245:C245)</f>
        <v>14231.000000000004</v>
      </c>
      <c r="F246" s="1"/>
    </row>
  </sheetData>
  <mergeCells count="26">
    <mergeCell ref="C210:H210"/>
    <mergeCell ref="A216:A217"/>
    <mergeCell ref="C229:H229"/>
    <mergeCell ref="A235:A236"/>
    <mergeCell ref="A159:A160"/>
    <mergeCell ref="C172:H172"/>
    <mergeCell ref="A178:A179"/>
    <mergeCell ref="C191:H191"/>
    <mergeCell ref="A197:A198"/>
    <mergeCell ref="C115:H115"/>
    <mergeCell ref="A121:A122"/>
    <mergeCell ref="C134:H134"/>
    <mergeCell ref="A140:A141"/>
    <mergeCell ref="C153:H153"/>
    <mergeCell ref="A45:A46"/>
    <mergeCell ref="C1:H1"/>
    <mergeCell ref="A7:A8"/>
    <mergeCell ref="C20:H20"/>
    <mergeCell ref="A26:A27"/>
    <mergeCell ref="C39:H39"/>
    <mergeCell ref="C96:H96"/>
    <mergeCell ref="A102:A103"/>
    <mergeCell ref="C77:H77"/>
    <mergeCell ref="A83:A84"/>
    <mergeCell ref="C58:H58"/>
    <mergeCell ref="A64:A6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600-23FD-4B89-8885-41C9F1AF24FB}">
  <dimension ref="A1:H39"/>
  <sheetViews>
    <sheetView topLeftCell="A16" zoomScale="85" zoomScaleNormal="85" workbookViewId="0">
      <selection activeCell="G40" sqref="G40"/>
    </sheetView>
  </sheetViews>
  <sheetFormatPr defaultRowHeight="15" x14ac:dyDescent="0.25"/>
  <cols>
    <col min="1" max="1" width="14.28515625" bestFit="1" customWidth="1"/>
    <col min="2" max="3" width="17.28515625" bestFit="1" customWidth="1"/>
    <col min="4" max="4" width="22" bestFit="1" customWidth="1"/>
    <col min="5" max="5" width="17.28515625" bestFit="1" customWidth="1"/>
    <col min="6" max="8" width="12.140625" bestFit="1" customWidth="1"/>
  </cols>
  <sheetData>
    <row r="1" spans="1:8" x14ac:dyDescent="0.25">
      <c r="B1" s="80" t="s">
        <v>6</v>
      </c>
      <c r="C1" s="80"/>
      <c r="D1" s="80"/>
      <c r="E1" s="80"/>
      <c r="F1" s="80"/>
      <c r="G1" s="80"/>
      <c r="H1" s="80"/>
    </row>
    <row r="2" spans="1:8" x14ac:dyDescent="0.25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33</v>
      </c>
    </row>
    <row r="3" spans="1:8" x14ac:dyDescent="0.25">
      <c r="A3" t="s">
        <v>28</v>
      </c>
      <c r="B3" s="21">
        <v>1114.19</v>
      </c>
      <c r="C3" s="21">
        <v>1210</v>
      </c>
      <c r="D3" s="21">
        <v>1362.011033540691</v>
      </c>
      <c r="E3" s="21">
        <v>1466.6916600000002</v>
      </c>
      <c r="F3" s="21">
        <v>1552.9676400000003</v>
      </c>
      <c r="G3" s="21">
        <v>1622.5982589598927</v>
      </c>
      <c r="H3" s="21">
        <v>1186.2947250000002</v>
      </c>
    </row>
    <row r="4" spans="1:8" x14ac:dyDescent="0.25">
      <c r="A4" t="s">
        <v>27</v>
      </c>
      <c r="B4" s="21">
        <v>1368.68</v>
      </c>
      <c r="C4" s="21">
        <v>1535.02</v>
      </c>
      <c r="D4" s="21">
        <v>1203.1199999999999</v>
      </c>
      <c r="E4" s="21">
        <v>1473.28</v>
      </c>
      <c r="F4" s="21">
        <v>1698.23</v>
      </c>
      <c r="G4" s="21"/>
      <c r="H4" s="21"/>
    </row>
    <row r="5" spans="1:8" x14ac:dyDescent="0.25">
      <c r="B5" s="81" t="s">
        <v>13</v>
      </c>
      <c r="C5" s="81"/>
      <c r="D5" s="81"/>
      <c r="E5" s="81"/>
      <c r="F5" s="81"/>
      <c r="G5" s="81"/>
      <c r="H5" s="81"/>
    </row>
    <row r="6" spans="1:8" x14ac:dyDescent="0.25"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33</v>
      </c>
    </row>
    <row r="7" spans="1:8" x14ac:dyDescent="0.25">
      <c r="A7" t="s">
        <v>28</v>
      </c>
      <c r="B7" s="21">
        <v>1185.59259893181</v>
      </c>
      <c r="C7" s="21">
        <v>1319.7999999999997</v>
      </c>
      <c r="D7" s="21">
        <v>1339.0136431658507</v>
      </c>
      <c r="E7" s="21">
        <v>1397.1386972854928</v>
      </c>
      <c r="F7" s="21">
        <v>1623.7826326287604</v>
      </c>
      <c r="G7" s="21">
        <v>1797.3198600000001</v>
      </c>
      <c r="H7" s="21">
        <v>1396.3552306938277</v>
      </c>
    </row>
    <row r="8" spans="1:8" x14ac:dyDescent="0.25">
      <c r="A8" t="s">
        <v>27</v>
      </c>
      <c r="B8" s="21">
        <v>1634.36</v>
      </c>
      <c r="C8" s="21">
        <v>1297.98</v>
      </c>
      <c r="D8" s="21">
        <v>1256.8599999999999</v>
      </c>
      <c r="E8" s="21">
        <v>1575.98</v>
      </c>
      <c r="F8" s="21">
        <v>2111.89</v>
      </c>
      <c r="G8" s="21"/>
      <c r="H8" s="21"/>
    </row>
    <row r="9" spans="1:8" x14ac:dyDescent="0.25">
      <c r="B9" s="21"/>
      <c r="C9" s="21"/>
      <c r="D9" s="21"/>
      <c r="E9" s="21"/>
      <c r="F9" s="21"/>
      <c r="G9" s="21"/>
      <c r="H9" s="21"/>
    </row>
    <row r="10" spans="1:8" x14ac:dyDescent="0.25">
      <c r="B10" s="81" t="s">
        <v>14</v>
      </c>
      <c r="C10" s="81"/>
      <c r="D10" s="81"/>
      <c r="E10" s="81"/>
      <c r="F10" s="81"/>
      <c r="G10" s="81"/>
      <c r="H10" s="81"/>
    </row>
    <row r="11" spans="1:8" x14ac:dyDescent="0.25"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33</v>
      </c>
    </row>
    <row r="12" spans="1:8" x14ac:dyDescent="0.25">
      <c r="A12" t="s">
        <v>28</v>
      </c>
      <c r="B12" s="21">
        <v>1219.99106074377</v>
      </c>
      <c r="C12" s="21">
        <v>1330.9818593483701</v>
      </c>
      <c r="D12" s="21">
        <v>1969.4695524012761</v>
      </c>
      <c r="E12" s="21">
        <v>2057.5564779227834</v>
      </c>
      <c r="F12" s="21">
        <v>2273.4658799999997</v>
      </c>
      <c r="G12" s="21">
        <v>2408.9719731037881</v>
      </c>
      <c r="H12" s="21">
        <v>1835.6310314999998</v>
      </c>
    </row>
    <row r="13" spans="1:8" x14ac:dyDescent="0.25">
      <c r="A13" t="s">
        <v>27</v>
      </c>
      <c r="B13" s="21">
        <v>1581.9</v>
      </c>
      <c r="C13" s="21">
        <v>1849.04</v>
      </c>
      <c r="D13" s="21">
        <v>1984.05</v>
      </c>
      <c r="E13" s="21">
        <v>1843.26</v>
      </c>
      <c r="F13" s="21">
        <v>1836.23</v>
      </c>
      <c r="G13" s="21"/>
      <c r="H13" s="21"/>
    </row>
    <row r="14" spans="1:8" x14ac:dyDescent="0.25">
      <c r="B14" s="21"/>
      <c r="C14" s="21"/>
      <c r="D14" s="21"/>
      <c r="E14" s="21"/>
      <c r="F14" s="21"/>
      <c r="G14" s="21"/>
      <c r="H14" s="21"/>
    </row>
    <row r="15" spans="1:8" x14ac:dyDescent="0.25">
      <c r="B15" s="21"/>
      <c r="C15" s="21"/>
      <c r="D15" s="21"/>
      <c r="E15" s="21"/>
      <c r="F15" s="21"/>
      <c r="G15" s="21"/>
      <c r="H15" s="21"/>
    </row>
    <row r="16" spans="1:8" x14ac:dyDescent="0.25">
      <c r="B16" s="81" t="s">
        <v>11</v>
      </c>
      <c r="C16" s="81"/>
      <c r="D16" s="81"/>
      <c r="E16" s="81"/>
      <c r="F16" s="81"/>
      <c r="G16" s="81"/>
      <c r="H16" s="81"/>
    </row>
    <row r="17" spans="1:8" x14ac:dyDescent="0.25"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33</v>
      </c>
    </row>
    <row r="18" spans="1:8" x14ac:dyDescent="0.25">
      <c r="A18" t="s">
        <v>28</v>
      </c>
      <c r="B18" s="21">
        <v>644.00000000000011</v>
      </c>
      <c r="C18" s="21">
        <v>666.99999999999989</v>
      </c>
      <c r="D18" s="21">
        <v>692.26863134155121</v>
      </c>
      <c r="E18" s="21">
        <v>716.36222508011008</v>
      </c>
      <c r="F18" s="21">
        <v>762.08686743041903</v>
      </c>
      <c r="G18" s="21">
        <v>826.39501875000008</v>
      </c>
      <c r="H18" s="21">
        <v>785.07526781249999</v>
      </c>
    </row>
    <row r="19" spans="1:8" x14ac:dyDescent="0.25">
      <c r="A19" t="s">
        <v>27</v>
      </c>
      <c r="B19" s="21">
        <v>505.23</v>
      </c>
      <c r="C19" s="21">
        <v>671.32</v>
      </c>
      <c r="D19" s="21">
        <v>616.74</v>
      </c>
      <c r="E19" s="21">
        <v>645.41</v>
      </c>
      <c r="F19" s="21">
        <v>913.32</v>
      </c>
      <c r="G19" s="21"/>
      <c r="H19" s="21"/>
    </row>
    <row r="21" spans="1:8" x14ac:dyDescent="0.25">
      <c r="C21" s="21"/>
      <c r="D21" s="28"/>
      <c r="E21" s="28"/>
      <c r="F21" s="28"/>
      <c r="G21" s="28"/>
      <c r="H21" s="28"/>
    </row>
    <row r="22" spans="1:8" x14ac:dyDescent="0.25">
      <c r="F22" s="22"/>
      <c r="G22" s="28"/>
      <c r="H22" s="22"/>
    </row>
    <row r="23" spans="1:8" x14ac:dyDescent="0.25">
      <c r="C23" s="21"/>
      <c r="D23" s="21"/>
      <c r="E23" s="28"/>
      <c r="F23" s="21"/>
      <c r="G23" s="28"/>
      <c r="H23" s="28"/>
    </row>
    <row r="24" spans="1:8" x14ac:dyDescent="0.25">
      <c r="F24" s="22"/>
      <c r="G24" s="22"/>
      <c r="H24" s="22"/>
    </row>
    <row r="25" spans="1:8" x14ac:dyDescent="0.25">
      <c r="C25" s="21"/>
      <c r="D25" s="21"/>
      <c r="E25" s="21"/>
      <c r="F25" s="21"/>
      <c r="G25" s="21"/>
      <c r="H25" s="21"/>
    </row>
    <row r="26" spans="1:8" x14ac:dyDescent="0.25">
      <c r="F26" s="22"/>
      <c r="G26" s="22"/>
      <c r="H26" s="22"/>
    </row>
    <row r="27" spans="1:8" ht="21" x14ac:dyDescent="0.35">
      <c r="A27" s="74" t="s">
        <v>43</v>
      </c>
      <c r="B27" s="74"/>
      <c r="C27" s="74"/>
      <c r="D27" s="74"/>
      <c r="E27" s="21"/>
      <c r="F27" s="21"/>
      <c r="G27" s="21"/>
      <c r="H27" s="21"/>
    </row>
    <row r="28" spans="1:8" ht="21" x14ac:dyDescent="0.35">
      <c r="A28" s="61" t="s">
        <v>0</v>
      </c>
      <c r="B28" s="61" t="s">
        <v>27</v>
      </c>
      <c r="C28" s="61" t="s">
        <v>28</v>
      </c>
      <c r="D28" s="61" t="s">
        <v>29</v>
      </c>
      <c r="F28" s="22"/>
      <c r="G28" s="22"/>
      <c r="H28" s="22"/>
    </row>
    <row r="29" spans="1:8" ht="21" x14ac:dyDescent="0.35">
      <c r="A29" s="62" t="s">
        <v>6</v>
      </c>
      <c r="B29" s="63">
        <v>1446.18</v>
      </c>
      <c r="C29" s="64">
        <v>1552.9676400000003</v>
      </c>
      <c r="D29" s="65">
        <f>C29-B29</f>
        <v>106.78764000000024</v>
      </c>
      <c r="F29" s="22"/>
      <c r="G29" s="22"/>
      <c r="H29" s="22"/>
    </row>
    <row r="30" spans="1:8" ht="21" x14ac:dyDescent="0.35">
      <c r="A30" s="62" t="s">
        <v>13</v>
      </c>
      <c r="B30" s="63">
        <v>1010.66</v>
      </c>
      <c r="C30" s="64">
        <v>1623.7826326287604</v>
      </c>
      <c r="D30" s="65">
        <f>C30-B30</f>
        <v>613.12263262876047</v>
      </c>
      <c r="F30" s="22"/>
      <c r="G30" s="22"/>
      <c r="H30" s="22"/>
    </row>
    <row r="31" spans="1:8" ht="21" x14ac:dyDescent="0.35">
      <c r="A31" s="62" t="s">
        <v>14</v>
      </c>
      <c r="B31" s="63">
        <v>1278</v>
      </c>
      <c r="C31" s="64">
        <v>2273.4658799999997</v>
      </c>
      <c r="D31" s="65">
        <f>C31-B31</f>
        <v>995.46587999999974</v>
      </c>
      <c r="F31" s="22"/>
      <c r="G31" s="22"/>
      <c r="H31" s="22"/>
    </row>
    <row r="32" spans="1:8" ht="21" x14ac:dyDescent="0.35">
      <c r="A32" s="62" t="s">
        <v>11</v>
      </c>
      <c r="B32" s="63">
        <v>574.17999999999995</v>
      </c>
      <c r="C32" s="64">
        <v>762.08686743041881</v>
      </c>
      <c r="D32" s="65">
        <f>C32-B32</f>
        <v>187.90686743041886</v>
      </c>
      <c r="F32" s="22"/>
      <c r="G32" s="22"/>
      <c r="H32" s="22"/>
    </row>
    <row r="33" spans="1:8" ht="21" x14ac:dyDescent="0.35">
      <c r="A33" s="62" t="s">
        <v>19</v>
      </c>
      <c r="B33" s="63">
        <v>314.82</v>
      </c>
      <c r="C33" s="64">
        <v>0</v>
      </c>
      <c r="D33" s="65">
        <v>0</v>
      </c>
      <c r="F33" s="22"/>
      <c r="G33" s="22"/>
      <c r="H33" s="22"/>
    </row>
    <row r="34" spans="1:8" ht="21" x14ac:dyDescent="0.35">
      <c r="A34" s="62" t="s">
        <v>23</v>
      </c>
      <c r="B34" s="63">
        <f>SUM(B29:B33)</f>
        <v>4623.84</v>
      </c>
      <c r="C34" s="64">
        <f>SUM(C29:C33)</f>
        <v>6212.3030200591784</v>
      </c>
      <c r="D34" s="65">
        <f>C34-B34</f>
        <v>1588.4630200591782</v>
      </c>
      <c r="F34" s="22"/>
      <c r="G34" s="22"/>
      <c r="H34" s="22"/>
    </row>
    <row r="35" spans="1:8" x14ac:dyDescent="0.25">
      <c r="F35" s="22"/>
      <c r="G35" s="22"/>
      <c r="H35" s="22"/>
    </row>
    <row r="36" spans="1:8" ht="21" x14ac:dyDescent="0.35">
      <c r="B36" s="74" t="s">
        <v>72</v>
      </c>
      <c r="C36" s="74"/>
      <c r="D36" s="74"/>
      <c r="E36" s="74"/>
      <c r="F36" s="22"/>
      <c r="G36" s="22"/>
      <c r="H36" s="22"/>
    </row>
    <row r="37" spans="1:8" ht="21" customHeight="1" x14ac:dyDescent="0.35">
      <c r="B37" s="79" t="s">
        <v>73</v>
      </c>
      <c r="C37" s="71">
        <v>2025</v>
      </c>
      <c r="D37" s="71">
        <v>2026</v>
      </c>
      <c r="E37" s="71" t="s">
        <v>23</v>
      </c>
      <c r="F37" s="22"/>
      <c r="G37" s="22"/>
      <c r="H37" s="22"/>
    </row>
    <row r="38" spans="1:8" ht="21" customHeight="1" x14ac:dyDescent="0.35">
      <c r="B38" s="79"/>
      <c r="C38" s="63">
        <v>147299.39000000001</v>
      </c>
      <c r="D38" s="63">
        <v>268837.5</v>
      </c>
      <c r="E38" s="64">
        <f>SUM(C38:D38)</f>
        <v>416136.89</v>
      </c>
      <c r="F38" s="22"/>
      <c r="G38" s="22"/>
      <c r="H38" s="22"/>
    </row>
    <row r="39" spans="1:8" x14ac:dyDescent="0.25">
      <c r="F39" s="22"/>
      <c r="G39" s="22"/>
      <c r="H39" s="22"/>
    </row>
  </sheetData>
  <mergeCells count="7">
    <mergeCell ref="B37:B38"/>
    <mergeCell ref="B36:E36"/>
    <mergeCell ref="B1:H1"/>
    <mergeCell ref="B5:H5"/>
    <mergeCell ref="B10:H10"/>
    <mergeCell ref="B16:H16"/>
    <mergeCell ref="A27:D27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CB69-C738-4E57-9824-51ECCA31ACC2}">
  <dimension ref="D5:S33"/>
  <sheetViews>
    <sheetView showGridLines="0" zoomScaleNormal="100" workbookViewId="0">
      <selection activeCell="F7" sqref="F7"/>
    </sheetView>
  </sheetViews>
  <sheetFormatPr defaultRowHeight="15" x14ac:dyDescent="0.25"/>
  <cols>
    <col min="3" max="3" width="3.85546875" customWidth="1"/>
    <col min="4" max="4" width="21.7109375" bestFit="1" customWidth="1"/>
    <col min="5" max="5" width="22" bestFit="1" customWidth="1"/>
    <col min="6" max="6" width="16" bestFit="1" customWidth="1"/>
    <col min="7" max="7" width="14.42578125" bestFit="1" customWidth="1"/>
    <col min="8" max="8" width="18.42578125" bestFit="1" customWidth="1"/>
    <col min="9" max="9" width="13.85546875" bestFit="1" customWidth="1"/>
    <col min="10" max="10" width="12.42578125" bestFit="1" customWidth="1"/>
    <col min="11" max="11" width="12.5703125" bestFit="1" customWidth="1"/>
    <col min="12" max="12" width="13.42578125" bestFit="1" customWidth="1"/>
    <col min="16" max="16" width="14.42578125" bestFit="1" customWidth="1"/>
    <col min="17" max="17" width="10.28515625" bestFit="1" customWidth="1"/>
    <col min="18" max="18" width="16" bestFit="1" customWidth="1"/>
    <col min="19" max="19" width="12.85546875" bestFit="1" customWidth="1"/>
    <col min="20" max="20" width="14.28515625" bestFit="1" customWidth="1"/>
    <col min="21" max="21" width="13.85546875" bestFit="1" customWidth="1"/>
    <col min="22" max="22" width="12.42578125" bestFit="1" customWidth="1"/>
    <col min="24" max="24" width="13.42578125" bestFit="1" customWidth="1"/>
    <col min="27" max="27" width="3.28515625" customWidth="1"/>
  </cols>
  <sheetData>
    <row r="5" spans="4:10" x14ac:dyDescent="0.25">
      <c r="D5" s="73" t="s">
        <v>44</v>
      </c>
      <c r="E5" s="73"/>
      <c r="G5" s="73" t="s">
        <v>45</v>
      </c>
      <c r="H5" s="73"/>
      <c r="I5" s="73"/>
    </row>
    <row r="6" spans="4:10" x14ac:dyDescent="0.25">
      <c r="D6" s="27" t="s">
        <v>0</v>
      </c>
      <c r="E6" s="27" t="s">
        <v>2</v>
      </c>
      <c r="G6" s="27" t="s">
        <v>0</v>
      </c>
      <c r="H6" s="27" t="s">
        <v>46</v>
      </c>
      <c r="I6" s="27" t="s">
        <v>47</v>
      </c>
    </row>
    <row r="7" spans="4:10" x14ac:dyDescent="0.25">
      <c r="D7" s="27" t="s">
        <v>48</v>
      </c>
      <c r="E7" s="55">
        <v>92.67</v>
      </c>
      <c r="G7" s="27" t="s">
        <v>48</v>
      </c>
      <c r="H7" s="54">
        <v>26407.310000000092</v>
      </c>
      <c r="I7" s="54">
        <v>14682.2399999999</v>
      </c>
    </row>
    <row r="8" spans="4:10" x14ac:dyDescent="0.25">
      <c r="D8" s="27" t="s">
        <v>49</v>
      </c>
      <c r="E8" s="54">
        <v>131.69</v>
      </c>
      <c r="G8" s="27" t="s">
        <v>49</v>
      </c>
      <c r="H8" s="56">
        <v>15156.879999999946</v>
      </c>
      <c r="I8" s="56">
        <v>5672.1899999999823</v>
      </c>
    </row>
    <row r="9" spans="4:10" x14ac:dyDescent="0.25">
      <c r="D9" s="27" t="s">
        <v>50</v>
      </c>
      <c r="E9" s="53">
        <v>612.5999999999998</v>
      </c>
      <c r="G9" s="27" t="s">
        <v>50</v>
      </c>
      <c r="H9" s="60">
        <v>15863.449999999928</v>
      </c>
      <c r="I9" s="53">
        <v>26813.950000000521</v>
      </c>
    </row>
    <row r="10" spans="4:10" x14ac:dyDescent="0.25">
      <c r="D10" s="27" t="s">
        <v>51</v>
      </c>
      <c r="E10" s="56">
        <v>11.780000000000001</v>
      </c>
      <c r="G10" s="27" t="s">
        <v>51</v>
      </c>
      <c r="H10" s="53">
        <v>48518.280000000057</v>
      </c>
      <c r="I10" s="60">
        <v>12194.769999999959</v>
      </c>
    </row>
    <row r="11" spans="4:10" x14ac:dyDescent="0.25">
      <c r="D11" s="27" t="s">
        <v>52</v>
      </c>
      <c r="E11" s="39">
        <v>848.73999999999978</v>
      </c>
      <c r="G11" s="27" t="s">
        <v>52</v>
      </c>
      <c r="H11" s="40">
        <f>SUM(H7:H10)</f>
        <v>105945.92000000003</v>
      </c>
      <c r="I11" s="40">
        <f>SUM(I7:I10)</f>
        <v>59363.150000000365</v>
      </c>
    </row>
    <row r="13" spans="4:10" x14ac:dyDescent="0.25">
      <c r="D13" s="73" t="s">
        <v>53</v>
      </c>
      <c r="E13" s="73"/>
      <c r="F13" s="73"/>
      <c r="G13" s="73"/>
      <c r="H13" s="73"/>
      <c r="I13" s="73"/>
      <c r="J13" s="73"/>
    </row>
    <row r="14" spans="4:10" x14ac:dyDescent="0.25">
      <c r="D14" s="27" t="s">
        <v>0</v>
      </c>
      <c r="E14" s="27" t="s">
        <v>7</v>
      </c>
      <c r="F14" s="27" t="s">
        <v>8</v>
      </c>
      <c r="G14" s="27" t="s">
        <v>9</v>
      </c>
      <c r="H14" s="27" t="s">
        <v>10</v>
      </c>
      <c r="I14" s="27" t="s">
        <v>54</v>
      </c>
      <c r="J14" s="27" t="s">
        <v>18</v>
      </c>
    </row>
    <row r="15" spans="4:10" x14ac:dyDescent="0.25">
      <c r="D15" s="27" t="s">
        <v>48</v>
      </c>
      <c r="E15" s="38">
        <v>62</v>
      </c>
      <c r="F15" s="38">
        <v>51</v>
      </c>
      <c r="G15" s="38">
        <v>54</v>
      </c>
      <c r="H15" s="38">
        <v>55</v>
      </c>
      <c r="I15" s="38">
        <v>52</v>
      </c>
      <c r="J15" s="47">
        <v>274</v>
      </c>
    </row>
    <row r="16" spans="4:10" x14ac:dyDescent="0.25">
      <c r="D16" s="27" t="s">
        <v>49</v>
      </c>
      <c r="E16" s="38">
        <v>19</v>
      </c>
      <c r="F16" s="38">
        <v>22</v>
      </c>
      <c r="G16" s="38">
        <v>23</v>
      </c>
      <c r="H16" s="38">
        <v>11</v>
      </c>
      <c r="I16" s="38">
        <v>6</v>
      </c>
      <c r="J16" s="48">
        <v>81</v>
      </c>
    </row>
    <row r="17" spans="4:19" x14ac:dyDescent="0.25">
      <c r="D17" s="27" t="s">
        <v>50</v>
      </c>
      <c r="E17" s="38">
        <v>39</v>
      </c>
      <c r="F17" s="38">
        <v>120</v>
      </c>
      <c r="G17" s="38">
        <v>105</v>
      </c>
      <c r="H17" s="38">
        <v>82</v>
      </c>
      <c r="I17" s="38">
        <v>37</v>
      </c>
      <c r="J17" s="46">
        <v>383</v>
      </c>
    </row>
    <row r="18" spans="4:19" x14ac:dyDescent="0.25">
      <c r="D18" s="27" t="s">
        <v>51</v>
      </c>
      <c r="E18" s="38">
        <v>2</v>
      </c>
      <c r="F18" s="38">
        <v>23</v>
      </c>
      <c r="G18" s="38">
        <v>16</v>
      </c>
      <c r="H18" s="38">
        <v>48</v>
      </c>
      <c r="I18" s="38">
        <v>5</v>
      </c>
      <c r="J18" s="49">
        <v>94</v>
      </c>
    </row>
    <row r="19" spans="4:19" x14ac:dyDescent="0.25">
      <c r="D19" s="27" t="s">
        <v>52</v>
      </c>
      <c r="E19" s="27">
        <v>122</v>
      </c>
      <c r="F19" s="27">
        <v>216</v>
      </c>
      <c r="G19" s="27">
        <v>198</v>
      </c>
      <c r="H19" s="27">
        <v>196</v>
      </c>
      <c r="I19" s="27">
        <v>100</v>
      </c>
      <c r="J19" s="27">
        <v>832</v>
      </c>
    </row>
    <row r="21" spans="4:19" x14ac:dyDescent="0.25">
      <c r="D21" s="73" t="s">
        <v>55</v>
      </c>
      <c r="E21" s="73"/>
      <c r="F21" s="73"/>
      <c r="G21" s="73"/>
      <c r="H21" s="73"/>
      <c r="I21" s="73"/>
      <c r="J21" s="73"/>
      <c r="K21" s="73"/>
      <c r="L21" s="73"/>
    </row>
    <row r="22" spans="4:19" x14ac:dyDescent="0.25">
      <c r="D22" s="27" t="s">
        <v>0</v>
      </c>
      <c r="E22" s="27" t="s">
        <v>56</v>
      </c>
      <c r="F22" s="27" t="s">
        <v>57</v>
      </c>
      <c r="G22" s="27" t="s">
        <v>58</v>
      </c>
      <c r="H22" s="27" t="s">
        <v>59</v>
      </c>
      <c r="I22" s="27" t="s">
        <v>60</v>
      </c>
      <c r="J22" s="27" t="s">
        <v>61</v>
      </c>
      <c r="K22" s="27" t="s">
        <v>62</v>
      </c>
      <c r="L22" s="27" t="s">
        <v>63</v>
      </c>
    </row>
    <row r="23" spans="4:19" x14ac:dyDescent="0.25">
      <c r="D23" s="36" t="s">
        <v>48</v>
      </c>
      <c r="E23" s="37">
        <v>52.75</v>
      </c>
      <c r="F23" s="37">
        <v>66.75</v>
      </c>
      <c r="G23" s="37">
        <v>56.5</v>
      </c>
      <c r="H23" s="37">
        <v>52.5</v>
      </c>
      <c r="I23" s="37">
        <v>49.25</v>
      </c>
      <c r="J23" s="37">
        <v>50.5</v>
      </c>
      <c r="K23" s="37">
        <v>60.5</v>
      </c>
      <c r="L23" s="51">
        <f>AVERAGE(E23:K23)</f>
        <v>55.535714285714285</v>
      </c>
    </row>
    <row r="24" spans="4:19" x14ac:dyDescent="0.25">
      <c r="D24" s="36" t="s">
        <v>49</v>
      </c>
      <c r="E24" s="37">
        <v>28.5</v>
      </c>
      <c r="F24" s="37">
        <v>32.5</v>
      </c>
      <c r="G24" s="37">
        <v>25.25</v>
      </c>
      <c r="H24" s="37">
        <v>30</v>
      </c>
      <c r="I24" s="37">
        <v>26</v>
      </c>
      <c r="J24" s="37">
        <v>29</v>
      </c>
      <c r="K24" s="37">
        <v>36</v>
      </c>
      <c r="L24" s="52">
        <f t="shared" ref="L24:L26" si="0">AVERAGE(E24:K24)</f>
        <v>29.607142857142858</v>
      </c>
    </row>
    <row r="25" spans="4:19" x14ac:dyDescent="0.25">
      <c r="D25" s="36" t="s">
        <v>50</v>
      </c>
      <c r="E25" s="37">
        <v>75</v>
      </c>
      <c r="F25" s="37">
        <v>70.5</v>
      </c>
      <c r="G25" s="37">
        <v>83.25</v>
      </c>
      <c r="H25" s="37">
        <v>65.5</v>
      </c>
      <c r="I25" s="37">
        <v>74.5</v>
      </c>
      <c r="J25" s="37">
        <v>58.75</v>
      </c>
      <c r="K25" s="37">
        <v>85.25</v>
      </c>
      <c r="L25" s="50">
        <f t="shared" si="0"/>
        <v>73.25</v>
      </c>
    </row>
    <row r="26" spans="4:19" x14ac:dyDescent="0.25">
      <c r="D26" s="36" t="s">
        <v>51</v>
      </c>
      <c r="E26" s="37">
        <v>43.75</v>
      </c>
      <c r="F26" s="37">
        <v>25.5</v>
      </c>
      <c r="G26" s="37">
        <v>49.25</v>
      </c>
      <c r="H26" s="37">
        <v>47.25</v>
      </c>
      <c r="I26" s="37">
        <v>45.25</v>
      </c>
      <c r="J26" s="37">
        <v>36.75</v>
      </c>
      <c r="K26" s="37">
        <v>46.25</v>
      </c>
      <c r="L26" s="49">
        <f t="shared" si="0"/>
        <v>42</v>
      </c>
    </row>
    <row r="28" spans="4:19" x14ac:dyDescent="0.25">
      <c r="D28" s="82" t="s">
        <v>64</v>
      </c>
      <c r="E28" s="82"/>
      <c r="F28" s="82"/>
      <c r="G28" s="82"/>
      <c r="H28" s="82"/>
      <c r="I28" s="82"/>
      <c r="J28" s="82"/>
      <c r="K28" s="82"/>
      <c r="L28" s="82"/>
    </row>
    <row r="29" spans="4:19" x14ac:dyDescent="0.25">
      <c r="D29" s="36" t="s">
        <v>0</v>
      </c>
      <c r="E29" s="36" t="s">
        <v>56</v>
      </c>
      <c r="F29" s="36" t="s">
        <v>57</v>
      </c>
      <c r="G29" s="36" t="s">
        <v>58</v>
      </c>
      <c r="H29" s="36" t="s">
        <v>59</v>
      </c>
      <c r="I29" s="36" t="s">
        <v>60</v>
      </c>
      <c r="J29" s="36" t="s">
        <v>61</v>
      </c>
      <c r="K29" s="36" t="s">
        <v>62</v>
      </c>
      <c r="L29" s="36" t="s">
        <v>63</v>
      </c>
    </row>
    <row r="30" spans="4:19" x14ac:dyDescent="0.25">
      <c r="D30" s="36" t="s">
        <v>48</v>
      </c>
      <c r="E30" s="37">
        <v>30.065402843601813</v>
      </c>
      <c r="F30" s="37">
        <v>26.293520599250819</v>
      </c>
      <c r="G30" s="37">
        <v>24.331460176991094</v>
      </c>
      <c r="H30" s="37">
        <v>23.539238095238002</v>
      </c>
      <c r="I30" s="37">
        <v>26.263451776649681</v>
      </c>
      <c r="J30" s="37">
        <v>26.453663366336563</v>
      </c>
      <c r="K30" s="37">
        <v>27.957396694214793</v>
      </c>
      <c r="L30" s="58">
        <v>26.424147909967765</v>
      </c>
      <c r="M30" s="33"/>
      <c r="N30" s="33"/>
      <c r="O30" s="33"/>
      <c r="P30" s="33"/>
      <c r="Q30" s="33"/>
      <c r="R30" s="33"/>
      <c r="S30" s="33"/>
    </row>
    <row r="31" spans="4:19" x14ac:dyDescent="0.25">
      <c r="D31" s="36" t="s">
        <v>49</v>
      </c>
      <c r="E31" s="37">
        <v>32.553771929824528</v>
      </c>
      <c r="F31" s="37">
        <v>23.490769230769189</v>
      </c>
      <c r="G31" s="37">
        <v>25.669504950495032</v>
      </c>
      <c r="H31" s="37">
        <v>22.426833333333306</v>
      </c>
      <c r="I31" s="37">
        <v>19.875288461538464</v>
      </c>
      <c r="J31" s="37">
        <v>26.006293103448233</v>
      </c>
      <c r="K31" s="37">
        <v>25.67041666666664</v>
      </c>
      <c r="L31" s="59">
        <v>25.125536791314811</v>
      </c>
    </row>
    <row r="32" spans="4:19" x14ac:dyDescent="0.25">
      <c r="D32" s="36" t="s">
        <v>50</v>
      </c>
      <c r="E32" s="37">
        <v>21.063266666666575</v>
      </c>
      <c r="F32" s="37">
        <v>19.26141843971622</v>
      </c>
      <c r="G32" s="37">
        <v>18.994264264264174</v>
      </c>
      <c r="H32" s="37">
        <v>22.16003816793884</v>
      </c>
      <c r="I32" s="37">
        <v>19.687953020134152</v>
      </c>
      <c r="J32" s="37">
        <v>23.989191489361605</v>
      </c>
      <c r="K32" s="37">
        <v>21.381847507331269</v>
      </c>
      <c r="L32" s="52">
        <v>20.808093612871676</v>
      </c>
    </row>
    <row r="33" spans="4:12" x14ac:dyDescent="0.25">
      <c r="D33" s="36" t="s">
        <v>51</v>
      </c>
      <c r="E33" s="37">
        <v>58.284457142857022</v>
      </c>
      <c r="F33" s="37">
        <v>55.077254901960693</v>
      </c>
      <c r="G33" s="37">
        <v>55.013654822334942</v>
      </c>
      <c r="H33" s="37">
        <v>40.523492063492014</v>
      </c>
      <c r="I33" s="37">
        <v>39.786464088397743</v>
      </c>
      <c r="J33" s="37">
        <v>63.457074829931955</v>
      </c>
      <c r="K33" s="37">
        <v>53.347135135135041</v>
      </c>
      <c r="L33" s="57">
        <v>51.626743197278842</v>
      </c>
    </row>
  </sheetData>
  <mergeCells count="5">
    <mergeCell ref="D21:L21"/>
    <mergeCell ref="D28:L28"/>
    <mergeCell ref="D5:E5"/>
    <mergeCell ref="D13:J13"/>
    <mergeCell ref="G5:I5"/>
  </mergeCells>
  <phoneticPr fontId="5" type="noConversion"/>
  <conditionalFormatting sqref="E23:K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4:K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5:K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6:K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0:K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1:K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2:K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K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FATURAMENTO</vt:lpstr>
      <vt:lpstr>Planilha1</vt:lpstr>
      <vt:lpstr>META</vt:lpstr>
      <vt:lpstr>PERFORMANCE</vt:lpstr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Gabriel</dc:creator>
  <cp:keywords/>
  <dc:description/>
  <cp:lastModifiedBy>João Gabriel</cp:lastModifiedBy>
  <cp:revision/>
  <dcterms:created xsi:type="dcterms:W3CDTF">2025-07-31T12:38:59Z</dcterms:created>
  <dcterms:modified xsi:type="dcterms:W3CDTF">2026-02-20T21:38:57Z</dcterms:modified>
  <cp:category/>
  <cp:contentStatus/>
</cp:coreProperties>
</file>