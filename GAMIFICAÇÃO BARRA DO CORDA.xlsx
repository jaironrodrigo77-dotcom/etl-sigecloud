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JAIRON\BARRA DO CORDA PROJETO\"/>
    </mc:Choice>
  </mc:AlternateContent>
  <xr:revisionPtr revIDLastSave="0" documentId="13_ncr:1_{D1025363-2609-4E5A-8F02-5780616974C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lanilha2" sheetId="3" r:id="rId1"/>
    <sheet name="PLANILHA" sheetId="1" r:id="rId2"/>
    <sheet name="Planilha1" sheetId="2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03" i="1" l="1"/>
  <c r="G204" i="1"/>
  <c r="G205" i="1"/>
  <c r="G202" i="1"/>
  <c r="G199" i="1"/>
  <c r="G200" i="1"/>
  <c r="G201" i="1"/>
  <c r="G198" i="1"/>
  <c r="G195" i="1"/>
  <c r="G196" i="1"/>
  <c r="G197" i="1"/>
  <c r="G194" i="1"/>
  <c r="G191" i="1"/>
  <c r="G192" i="1"/>
  <c r="G193" i="1"/>
  <c r="G190" i="1"/>
  <c r="G187" i="1"/>
  <c r="G188" i="1"/>
  <c r="G189" i="1"/>
  <c r="G186" i="1"/>
  <c r="G185" i="1"/>
  <c r="G183" i="1"/>
  <c r="G184" i="1"/>
  <c r="G182" i="1"/>
  <c r="K174" i="1"/>
  <c r="K175" i="1"/>
  <c r="K176" i="1"/>
  <c r="K177" i="1"/>
  <c r="K178" i="1"/>
  <c r="K179" i="1"/>
  <c r="K180" i="1"/>
  <c r="K181" i="1"/>
  <c r="G179" i="1"/>
  <c r="G180" i="1"/>
  <c r="G181" i="1"/>
  <c r="G178" i="1"/>
  <c r="G175" i="1"/>
  <c r="G176" i="1"/>
  <c r="G177" i="1"/>
  <c r="G174" i="1"/>
  <c r="K166" i="1"/>
  <c r="K167" i="1"/>
  <c r="K168" i="1"/>
  <c r="K169" i="1"/>
  <c r="K170" i="1"/>
  <c r="K171" i="1"/>
  <c r="K172" i="1"/>
  <c r="K173" i="1"/>
  <c r="G171" i="1"/>
  <c r="G172" i="1"/>
  <c r="G173" i="1"/>
  <c r="G170" i="1"/>
  <c r="G167" i="1"/>
  <c r="G168" i="1"/>
  <c r="G169" i="1"/>
  <c r="G166" i="1"/>
  <c r="G165" i="1"/>
  <c r="K162" i="1"/>
  <c r="K163" i="1"/>
  <c r="K164" i="1"/>
  <c r="K165" i="1"/>
  <c r="G163" i="1"/>
  <c r="G164" i="1"/>
  <c r="G162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G159" i="1"/>
  <c r="G160" i="1"/>
  <c r="G161" i="1"/>
  <c r="G158" i="1"/>
  <c r="G155" i="1"/>
  <c r="G156" i="1"/>
  <c r="G157" i="1"/>
  <c r="G154" i="1"/>
  <c r="G151" i="1"/>
  <c r="G152" i="1"/>
  <c r="G153" i="1"/>
  <c r="G150" i="1"/>
  <c r="K139" i="1"/>
  <c r="K140" i="1"/>
  <c r="K141" i="1"/>
  <c r="K142" i="1"/>
  <c r="K143" i="1"/>
  <c r="K144" i="1"/>
  <c r="K145" i="1"/>
  <c r="K146" i="1"/>
  <c r="K147" i="1"/>
  <c r="K148" i="1"/>
  <c r="K149" i="1"/>
  <c r="K138" i="1"/>
  <c r="G147" i="1"/>
  <c r="G148" i="1"/>
  <c r="G149" i="1"/>
  <c r="G146" i="1"/>
  <c r="G143" i="1"/>
  <c r="G144" i="1"/>
  <c r="G145" i="1"/>
  <c r="G142" i="1"/>
  <c r="G139" i="1"/>
  <c r="G140" i="1"/>
  <c r="G141" i="1"/>
  <c r="G138" i="1"/>
  <c r="G135" i="1"/>
  <c r="G136" i="1"/>
  <c r="G137" i="1"/>
  <c r="G134" i="1"/>
  <c r="G131" i="1"/>
  <c r="G132" i="1"/>
  <c r="G133" i="1"/>
  <c r="G130" i="1"/>
  <c r="G20" i="3"/>
  <c r="G19" i="3"/>
  <c r="G18" i="3"/>
  <c r="G21" i="3"/>
  <c r="G122" i="1"/>
  <c r="G127" i="1"/>
  <c r="G128" i="1"/>
  <c r="G129" i="1"/>
  <c r="G126" i="1"/>
  <c r="G123" i="1"/>
  <c r="G124" i="1"/>
  <c r="G125" i="1"/>
  <c r="G119" i="1"/>
  <c r="G120" i="1"/>
  <c r="G121" i="1"/>
  <c r="G118" i="1"/>
  <c r="G115" i="1"/>
  <c r="G116" i="1"/>
  <c r="G117" i="1"/>
  <c r="G114" i="1"/>
  <c r="G111" i="1"/>
  <c r="G112" i="1"/>
  <c r="G113" i="1"/>
  <c r="G110" i="1"/>
  <c r="G107" i="1"/>
  <c r="G108" i="1"/>
  <c r="G109" i="1"/>
  <c r="G106" i="1"/>
  <c r="G104" i="1"/>
  <c r="G105" i="1"/>
  <c r="G102" i="1"/>
  <c r="G103" i="1"/>
  <c r="G99" i="1"/>
  <c r="G100" i="1"/>
  <c r="G101" i="1"/>
  <c r="G98" i="1"/>
  <c r="G95" i="1"/>
  <c r="G96" i="1"/>
  <c r="G97" i="1"/>
  <c r="G94" i="1"/>
  <c r="G91" i="1"/>
  <c r="G92" i="1"/>
  <c r="G93" i="1"/>
  <c r="G90" i="1"/>
  <c r="G87" i="1"/>
  <c r="G88" i="1"/>
  <c r="G89" i="1"/>
  <c r="G86" i="1"/>
  <c r="G85" i="1"/>
  <c r="G83" i="1"/>
  <c r="G84" i="1"/>
  <c r="G82" i="1"/>
  <c r="G79" i="1"/>
  <c r="G80" i="1"/>
  <c r="G81" i="1"/>
  <c r="G78" i="1"/>
  <c r="G75" i="1"/>
  <c r="G76" i="1"/>
  <c r="G77" i="1"/>
  <c r="G74" i="1"/>
  <c r="G71" i="1"/>
  <c r="G72" i="1"/>
  <c r="G73" i="1"/>
  <c r="G70" i="1"/>
  <c r="G67" i="1"/>
  <c r="G68" i="1"/>
  <c r="G69" i="1"/>
  <c r="G66" i="1"/>
  <c r="G65" i="1"/>
  <c r="G62" i="1"/>
  <c r="G63" i="1"/>
  <c r="G64" i="1"/>
  <c r="G59" i="1"/>
  <c r="G60" i="1"/>
  <c r="G61" i="1"/>
  <c r="G58" i="1"/>
  <c r="G55" i="1"/>
  <c r="G56" i="1"/>
  <c r="G57" i="1"/>
  <c r="G54" i="1"/>
  <c r="G51" i="1"/>
  <c r="G52" i="1"/>
  <c r="G53" i="1"/>
  <c r="G50" i="1"/>
  <c r="G47" i="1"/>
  <c r="G48" i="1"/>
  <c r="G49" i="1"/>
  <c r="G46" i="1"/>
  <c r="G43" i="1"/>
  <c r="G45" i="1"/>
  <c r="G44" i="1"/>
  <c r="G42" i="1"/>
  <c r="G39" i="1"/>
  <c r="G41" i="1"/>
  <c r="G40" i="1"/>
  <c r="G38" i="1"/>
  <c r="G35" i="1"/>
  <c r="G37" i="1"/>
  <c r="G36" i="1"/>
  <c r="G34" i="1"/>
  <c r="G31" i="1"/>
  <c r="G33" i="1"/>
  <c r="G32" i="1"/>
  <c r="G30" i="1"/>
  <c r="G26" i="1" l="1"/>
  <c r="G27" i="1"/>
  <c r="G29" i="1"/>
  <c r="G28" i="1"/>
  <c r="G23" i="1"/>
  <c r="G25" i="1"/>
  <c r="G24" i="1"/>
  <c r="G22" i="1"/>
  <c r="G19" i="1"/>
  <c r="G21" i="1"/>
  <c r="G20" i="1"/>
  <c r="G18" i="1"/>
  <c r="G16" i="1"/>
  <c r="G15" i="1"/>
  <c r="G17" i="1"/>
  <c r="G14" i="1"/>
  <c r="G2" i="1"/>
  <c r="G3" i="1"/>
  <c r="G5" i="1"/>
  <c r="G4" i="1"/>
  <c r="G6" i="1"/>
  <c r="G7" i="1"/>
  <c r="G9" i="1"/>
  <c r="G8" i="1"/>
  <c r="G10" i="1"/>
  <c r="G11" i="1"/>
  <c r="G13" i="1"/>
  <c r="G12" i="1"/>
  <c r="G22" i="3" l="1"/>
</calcChain>
</file>

<file path=xl/sharedStrings.xml><?xml version="1.0" encoding="utf-8"?>
<sst xmlns="http://schemas.openxmlformats.org/spreadsheetml/2006/main" count="237" uniqueCount="29">
  <si>
    <t>PONTOS FATURAMENTO</t>
  </si>
  <si>
    <t>PDV</t>
  </si>
  <si>
    <t>DATA</t>
  </si>
  <si>
    <t>ALTAMIRA</t>
  </si>
  <si>
    <t>COHAB</t>
  </si>
  <si>
    <t>TRIZIDELA</t>
  </si>
  <si>
    <t>INCRA</t>
  </si>
  <si>
    <t>TICKET MÉDIO</t>
  </si>
  <si>
    <t>PONTOS TICKET</t>
  </si>
  <si>
    <t>HORARIO ABERTURA</t>
  </si>
  <si>
    <t>PONTOS ABERTURA</t>
  </si>
  <si>
    <t>NÃO MANDOU</t>
  </si>
  <si>
    <t>PONTOS ORGANIZAÇÃO</t>
  </si>
  <si>
    <t>Total Geral</t>
  </si>
  <si>
    <t>PONTUAÇÃO META</t>
  </si>
  <si>
    <t>PONTUAÇÃO ABERTURA DE LOJA</t>
  </si>
  <si>
    <t>PONTUAÇÃO ORGANIZAÇÃO DE LOJA</t>
  </si>
  <si>
    <t>QUADRO DE PONTOS</t>
  </si>
  <si>
    <t>TOTAL PONTOS</t>
  </si>
  <si>
    <t>(Vários itens)</t>
  </si>
  <si>
    <t>MÉDIA CADASTROS PDVS</t>
  </si>
  <si>
    <t>Pdv Altamira</t>
  </si>
  <si>
    <t>Pdv Cohab</t>
  </si>
  <si>
    <t>Pdv Incra</t>
  </si>
  <si>
    <t>Pdv Trizidela</t>
  </si>
  <si>
    <t>PONTOS CADASTROS</t>
  </si>
  <si>
    <t>PONTOS DOS CADASTROS</t>
  </si>
  <si>
    <t>QUANT CADASTROS</t>
  </si>
  <si>
    <t>META CADASTRO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</si>
</sst>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6"/>
      <color theme="0"/>
      <name val="Din"/>
    </font>
    <font>
      <b/>
      <sz val="48"/>
      <color theme="0"/>
      <name val="Agency FB"/>
      <family val="2"/>
    </font>
    <font>
      <sz val="48"/>
      <color theme="1"/>
      <name val="Agency FB"/>
      <family val="2"/>
    </font>
    <font>
      <sz val="14"/>
      <color theme="1"/>
      <name val="Calibri"/>
      <family val="2"/>
      <scheme val="minor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9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/>
    </xf>
    <xf numFmtId="0" fontId="3" fillId="3" borderId="0" xfId="0" applyFont="1" applyFill="1"/>
    <xf numFmtId="0" fontId="2" fillId="0" borderId="3" xfId="0" applyFont="1" applyBorder="1" applyAlignment="1">
      <alignment horizontal="left"/>
    </xf>
    <xf numFmtId="2" fontId="0" fillId="0" borderId="0" xfId="0" applyNumberFormat="1"/>
    <xf numFmtId="0" fontId="7" fillId="0" borderId="0" xfId="0" pivotButton="1" applyFont="1"/>
    <xf numFmtId="0" fontId="7" fillId="0" borderId="0" xfId="0" applyFont="1"/>
    <xf numFmtId="0" fontId="8" fillId="9" borderId="1" xfId="0" applyFont="1" applyFill="1" applyBorder="1" applyAlignment="1">
      <alignment horizontal="lef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7" borderId="3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4" borderId="0" xfId="0" applyFont="1" applyFill="1"/>
    <xf numFmtId="0" fontId="6" fillId="4" borderId="0" xfId="0" applyFont="1" applyFill="1"/>
    <xf numFmtId="0" fontId="2" fillId="6" borderId="3" xfId="0" applyFont="1" applyFill="1" applyBorder="1" applyAlignment="1">
      <alignment horizontal="center"/>
    </xf>
    <xf numFmtId="0" fontId="0" fillId="0" borderId="0" xfId="0" applyNumberFormat="1"/>
    <xf numFmtId="0" fontId="3" fillId="3" borderId="0" xfId="0" applyFont="1" applyFill="1" applyAlignment="1"/>
    <xf numFmtId="0" fontId="1" fillId="3" borderId="0" xfId="0" applyNumberFormat="1" applyFont="1" applyFill="1" applyAlignment="1">
      <alignment horizontal="center"/>
    </xf>
    <xf numFmtId="0" fontId="2" fillId="7" borderId="3" xfId="0" applyNumberFormat="1" applyFont="1" applyFill="1" applyBorder="1" applyAlignment="1">
      <alignment horizontal="center"/>
    </xf>
    <xf numFmtId="0" fontId="2" fillId="8" borderId="3" xfId="0" applyNumberFormat="1" applyFont="1" applyFill="1" applyBorder="1" applyAlignment="1">
      <alignment horizontal="center"/>
    </xf>
    <xf numFmtId="0" fontId="2" fillId="10" borderId="3" xfId="0" applyNumberFormat="1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8" fillId="9" borderId="1" xfId="0" applyFont="1" applyFill="1" applyBorder="1" applyAlignment="1">
      <alignment horizontal="center"/>
    </xf>
  </cellXfs>
  <cellStyles count="1">
    <cellStyle name="Normal" xfId="0" builtinId="0"/>
  </cellStyles>
  <dxfs count="61">
    <dxf>
      <numFmt numFmtId="0" formatCode="General"/>
    </dxf>
    <dxf>
      <numFmt numFmtId="2" formatCode="0.00"/>
    </dxf>
    <dxf>
      <numFmt numFmtId="19" formatCode="dd/mm/yyyy"/>
    </dxf>
    <dxf>
      <fill>
        <patternFill>
          <fgColor theme="9"/>
        </patternFill>
      </fill>
    </dxf>
    <dxf>
      <fill>
        <patternFill>
          <fgColor rgb="FFFFFF00"/>
        </patternFill>
      </fill>
    </dxf>
    <dxf>
      <fill>
        <patternFill>
          <fgColor theme="9"/>
        </patternFill>
      </fill>
    </dxf>
    <dxf>
      <fill>
        <patternFill>
          <fgColor theme="9"/>
        </patternFill>
      </fill>
    </dxf>
    <dxf>
      <fill>
        <patternFill>
          <fgColor theme="9"/>
          <bgColor theme="9"/>
        </patternFill>
      </fill>
    </dxf>
    <dxf>
      <fill>
        <patternFill>
          <fgColor theme="9"/>
          <bgColor theme="9"/>
        </patternFill>
      </fill>
    </dxf>
    <dxf>
      <fill>
        <patternFill>
          <fgColor theme="9"/>
        </patternFill>
      </fill>
    </dxf>
    <dxf>
      <fill>
        <patternFill>
          <fgColor indexed="64"/>
          <bgColor rgb="FFFFFF00"/>
        </patternFill>
      </fill>
    </dxf>
    <dxf>
      <fill>
        <patternFill>
          <fgColor theme="9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theme="9"/>
          <bgColor rgb="FFFF0000"/>
        </patternFill>
      </fill>
    </dxf>
    <dxf>
      <fill>
        <patternFill>
          <fgColor theme="9"/>
          <bgColor rgb="FFFF0000"/>
        </patternFill>
      </fill>
    </dxf>
    <dxf>
      <fill>
        <patternFill>
          <fgColor indexed="64"/>
          <bgColor rgb="FFFFFF00"/>
        </patternFill>
      </fill>
    </dxf>
    <dxf>
      <alignment horizontal="center"/>
    </dxf>
    <dxf>
      <font>
        <color theme="0"/>
      </font>
      <fill>
        <patternFill patternType="solid">
          <fgColor indexed="64"/>
          <bgColor theme="3" tint="0.39997558519241921"/>
        </patternFill>
      </fill>
    </dxf>
    <dxf>
      <fill>
        <patternFill patternType="solid">
          <fgColor theme="9"/>
          <bgColor rgb="FFFF0000"/>
        </patternFill>
      </fill>
    </dxf>
    <dxf>
      <fill>
        <patternFill>
          <fgColor theme="9"/>
          <bgColor rgb="FFFF0000"/>
        </patternFill>
      </fill>
    </dxf>
    <dxf>
      <fill>
        <patternFill>
          <fgColor theme="9"/>
          <bgColor theme="9"/>
        </patternFill>
      </fill>
    </dxf>
    <dxf>
      <font>
        <color theme="1"/>
      </font>
    </dxf>
    <dxf>
      <font>
        <color theme="0"/>
      </font>
      <fill>
        <patternFill>
          <fgColor rgb="FFFF0000"/>
        </patternFill>
      </fill>
    </dxf>
    <dxf>
      <font>
        <color theme="0"/>
      </font>
      <fill>
        <patternFill>
          <fgColor indexed="64"/>
          <bgColor rgb="FFFF0000"/>
        </patternFill>
      </fill>
    </dxf>
    <dxf>
      <font>
        <color theme="0"/>
      </font>
      <fill>
        <patternFill>
          <fgColor rgb="FFFF0000"/>
        </patternFill>
      </fill>
    </dxf>
    <dxf>
      <font>
        <color theme="0"/>
      </font>
      <fill>
        <patternFill>
          <fgColor rgb="FFFF000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alignment horizontal="center"/>
    </dxf>
    <dxf>
      <font>
        <sz val="16"/>
      </font>
    </dxf>
    <dxf>
      <font>
        <b/>
      </font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1"/>
      </font>
    </dxf>
    <dxf>
      <font>
        <color theme="1"/>
      </font>
    </dxf>
    <dxf>
      <font>
        <color theme="0"/>
      </font>
    </dxf>
    <dxf>
      <fill>
        <patternFill patternType="solid">
          <bgColor rgb="FFFF0000"/>
        </patternFill>
      </fill>
    </dxf>
    <dxf>
      <font>
        <color theme="0"/>
      </font>
    </dxf>
    <dxf>
      <fill>
        <patternFill patternType="solid">
          <bgColor rgb="FFFF0000"/>
        </patternFill>
      </fill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  <fill>
        <patternFill patternType="solid">
          <fgColor indexed="64"/>
          <bgColor theme="3" tint="0.39997558519241921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theme="3" tint="0.39997558519241921"/>
        </patternFill>
      </fill>
      <alignment horizontal="general" vertical="bottom" textRotation="0" wrapText="0" indent="0" justifyLastLine="0" shrinkToFit="0" readingOrder="0"/>
    </dxf>
    <dxf>
      <font>
        <color theme="0"/>
      </font>
    </dxf>
    <dxf>
      <font>
        <color theme="0"/>
      </font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458185253220838E-2"/>
          <c:y val="0.14354195847931012"/>
          <c:w val="0.97854181906851989"/>
          <c:h val="0.71239960048665807"/>
        </c:manualLayout>
      </c:layout>
      <c:barChart>
        <c:barDir val="col"/>
        <c:grouping val="clustered"/>
        <c:varyColors val="0"/>
        <c:ser>
          <c:idx val="0"/>
          <c:order val="0"/>
          <c:tx>
            <c:v>PDVS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D86-49C5-84D6-64281729D4AB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CA9-4267-8CC1-2509F99B09C1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CA9-4267-8CC1-2509F99B09C1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CA9-4267-8CC1-2509F99B09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Planilha2!$B$18:$B$21</c:f>
              <c:strCache>
                <c:ptCount val="4"/>
                <c:pt idx="0">
                  <c:v>ALTAMIRA</c:v>
                </c:pt>
                <c:pt idx="1">
                  <c:v>COHAB</c:v>
                </c:pt>
                <c:pt idx="2">
                  <c:v>INCRA</c:v>
                </c:pt>
                <c:pt idx="3">
                  <c:v>TRIZIDELA</c:v>
                </c:pt>
              </c:strCache>
            </c:strRef>
          </c:cat>
          <c:val>
            <c:numRef>
              <c:f>Planilha2!$G$18:$G$21</c:f>
              <c:numCache>
                <c:formatCode>General</c:formatCode>
                <c:ptCount val="4"/>
                <c:pt idx="0">
                  <c:v>800</c:v>
                </c:pt>
                <c:pt idx="1">
                  <c:v>700</c:v>
                </c:pt>
                <c:pt idx="2">
                  <c:v>700</c:v>
                </c:pt>
                <c:pt idx="3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9-4267-8CC1-2509F99B0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6609496"/>
        <c:axId val="706614176"/>
      </c:barChart>
      <c:catAx>
        <c:axId val="706609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6614176"/>
        <c:crosses val="autoZero"/>
        <c:auto val="1"/>
        <c:lblAlgn val="ctr"/>
        <c:lblOffset val="100"/>
        <c:noMultiLvlLbl val="0"/>
      </c:catAx>
      <c:valAx>
        <c:axId val="7066141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6609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488576</xdr:colOff>
      <xdr:row>5</xdr:row>
      <xdr:rowOff>84606</xdr:rowOff>
    </xdr:from>
    <xdr:to>
      <xdr:col>2</xdr:col>
      <xdr:colOff>963705</xdr:colOff>
      <xdr:row>11</xdr:row>
      <xdr:rowOff>153540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B4833C6-6093-AC04-BF65-E3D167F69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517" y="1104341"/>
          <a:ext cx="1394012" cy="1211934"/>
        </a:xfrm>
        <a:prstGeom prst="rect">
          <a:avLst/>
        </a:prstGeom>
      </xdr:spPr>
    </xdr:pic>
    <xdr:clientData/>
  </xdr:twoCellAnchor>
  <xdr:twoCellAnchor>
    <xdr:from>
      <xdr:col>2</xdr:col>
      <xdr:colOff>1355909</xdr:colOff>
      <xdr:row>25</xdr:row>
      <xdr:rowOff>56030</xdr:rowOff>
    </xdr:from>
    <xdr:to>
      <xdr:col>6</xdr:col>
      <xdr:colOff>190498</xdr:colOff>
      <xdr:row>49</xdr:row>
      <xdr:rowOff>56031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64F8806-0EBC-3C6D-1888-0E3A3575D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425822</xdr:colOff>
      <xdr:row>7</xdr:row>
      <xdr:rowOff>56031</xdr:rowOff>
    </xdr:from>
    <xdr:to>
      <xdr:col>5</xdr:col>
      <xdr:colOff>1132913</xdr:colOff>
      <xdr:row>10</xdr:row>
      <xdr:rowOff>179295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9A609E8-E27C-4459-28B8-D5EB3A32F9CE}"/>
            </a:ext>
          </a:extLst>
        </xdr:cNvPr>
        <xdr:cNvSpPr txBox="1"/>
      </xdr:nvSpPr>
      <xdr:spPr>
        <a:xfrm>
          <a:off x="3283322" y="1456766"/>
          <a:ext cx="6377267" cy="6947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600" b="1">
              <a:solidFill>
                <a:schemeClr val="tx1"/>
              </a:solidFill>
            </a:rPr>
            <a:t>DASHBOARD</a:t>
          </a:r>
          <a:r>
            <a:rPr lang="pt-BR" sz="3600" b="1" baseline="0">
              <a:solidFill>
                <a:schemeClr val="tx1"/>
              </a:solidFill>
            </a:rPr>
            <a:t> DA GAMIFICAÇÃO</a:t>
          </a:r>
          <a:endParaRPr lang="pt-BR" sz="36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134472</xdr:colOff>
      <xdr:row>18</xdr:row>
      <xdr:rowOff>156881</xdr:rowOff>
    </xdr:from>
    <xdr:to>
      <xdr:col>14</xdr:col>
      <xdr:colOff>281199</xdr:colOff>
      <xdr:row>21</xdr:row>
      <xdr:rowOff>127186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FF3DBA4-90C5-4419-8F4C-A94FCC987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45972" y="3641910"/>
          <a:ext cx="75184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571500</xdr:colOff>
      <xdr:row>25</xdr:row>
      <xdr:rowOff>56031</xdr:rowOff>
    </xdr:from>
    <xdr:to>
      <xdr:col>3</xdr:col>
      <xdr:colOff>1323345</xdr:colOff>
      <xdr:row>28</xdr:row>
      <xdr:rowOff>160806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CD758D9-E0B8-431C-9B87-4487CA5BC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4818531"/>
          <a:ext cx="75184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Gabriel" refreshedDate="45933.478928240744" createdVersion="8" refreshedVersion="8" minRefreshableVersion="3" recordCount="180" xr:uid="{1B51DDDE-2153-44D0-88FA-9FF4D15BD1E5}">
  <cacheSource type="worksheet">
    <worksheetSource name="Tabela1"/>
  </cacheSource>
  <cacheFields count="11">
    <cacheField name="DATA" numFmtId="14">
      <sharedItems containsSemiMixedTypes="0" containsNonDate="0" containsDate="1" containsString="0" minDate="2025-08-18T00:00:00" maxDate="2025-10-03T00:00:00" count="45"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</sharedItems>
    </cacheField>
    <cacheField name="PDV" numFmtId="0">
      <sharedItems containsBlank="1" count="5">
        <s v="ALTAMIRA"/>
        <s v="COHAB"/>
        <s v="INCRA"/>
        <s v="TRIZIDELA"/>
        <m u="1"/>
      </sharedItems>
    </cacheField>
    <cacheField name="PONTOS FATURAMENTO" numFmtId="0">
      <sharedItems containsSemiMixedTypes="0" containsString="0" containsNumber="1" containsInteger="1" minValue="0" maxValue="150"/>
    </cacheField>
    <cacheField name="TICKET MÉDIO" numFmtId="0">
      <sharedItems containsSemiMixedTypes="0" containsString="0" containsNumber="1" minValue="0" maxValue="130.38999999999999"/>
    </cacheField>
    <cacheField name="PONTOS TICKET" numFmtId="0">
      <sharedItems containsSemiMixedTypes="0" containsString="0" containsNumber="1" containsInteger="1" minValue="0" maxValue="100"/>
    </cacheField>
    <cacheField name="HORARIO ABERTURA" numFmtId="2">
      <sharedItems containsMixedTypes="1" containsNumber="1" minValue="6.51" maxValue="7.16"/>
    </cacheField>
    <cacheField name="PONTOS ABERTURA" numFmtId="0">
      <sharedItems containsSemiMixedTypes="0" containsString="0" containsNumber="1" containsInteger="1" minValue="0" maxValue="50"/>
    </cacheField>
    <cacheField name="PONTOS ORGANIZAÇÃO" numFmtId="0">
      <sharedItems containsSemiMixedTypes="0" containsString="0" containsNumber="1" containsInteger="1" minValue="50" maxValue="50"/>
    </cacheField>
    <cacheField name="QUANT CADASTROS" numFmtId="0">
      <sharedItems containsString="0" containsBlank="1" containsNumber="1" containsInteger="1" minValue="0" maxValue="29"/>
    </cacheField>
    <cacheField name="META CADASTRO" numFmtId="0">
      <sharedItems containsString="0" containsBlank="1" containsNumber="1" minValue="3.625" maxValue="11.11111111"/>
    </cacheField>
    <cacheField name="PONTOS CADASTROS" numFmtId="0">
      <sharedItems containsString="0" containsBlank="1" containsNumber="1" containsInteg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x v="0"/>
    <x v="0"/>
    <n v="0"/>
    <n v="18.18"/>
    <n v="0"/>
    <n v="7.02"/>
    <n v="50"/>
    <n v="50"/>
    <m/>
    <m/>
    <m/>
  </r>
  <r>
    <x v="0"/>
    <x v="1"/>
    <n v="150"/>
    <n v="24.93"/>
    <n v="0"/>
    <n v="7.01"/>
    <n v="50"/>
    <n v="50"/>
    <m/>
    <m/>
    <m/>
  </r>
  <r>
    <x v="0"/>
    <x v="2"/>
    <n v="0"/>
    <n v="26.11"/>
    <n v="100"/>
    <n v="7.03"/>
    <n v="50"/>
    <n v="50"/>
    <m/>
    <m/>
    <m/>
  </r>
  <r>
    <x v="0"/>
    <x v="3"/>
    <n v="150"/>
    <n v="20.05"/>
    <n v="0"/>
    <s v="NÃO MANDOU"/>
    <n v="0"/>
    <n v="50"/>
    <m/>
    <m/>
    <m/>
  </r>
  <r>
    <x v="1"/>
    <x v="0"/>
    <n v="0"/>
    <n v="20.29"/>
    <n v="0"/>
    <n v="6.59"/>
    <n v="50"/>
    <n v="50"/>
    <m/>
    <m/>
    <m/>
  </r>
  <r>
    <x v="1"/>
    <x v="1"/>
    <n v="0"/>
    <n v="61.3"/>
    <n v="100"/>
    <s v="NÃO MANDOU"/>
    <n v="0"/>
    <n v="50"/>
    <m/>
    <m/>
    <m/>
  </r>
  <r>
    <x v="1"/>
    <x v="2"/>
    <n v="0"/>
    <n v="23.96"/>
    <n v="0"/>
    <n v="7.02"/>
    <n v="50"/>
    <n v="50"/>
    <m/>
    <m/>
    <m/>
  </r>
  <r>
    <x v="1"/>
    <x v="3"/>
    <n v="0"/>
    <n v="34.729999999999997"/>
    <n v="0"/>
    <n v="7.14"/>
    <n v="0"/>
    <n v="50"/>
    <m/>
    <m/>
    <m/>
  </r>
  <r>
    <x v="2"/>
    <x v="0"/>
    <n v="0"/>
    <n v="22.12"/>
    <n v="0"/>
    <n v="7.03"/>
    <n v="50"/>
    <n v="50"/>
    <m/>
    <m/>
    <m/>
  </r>
  <r>
    <x v="2"/>
    <x v="1"/>
    <n v="150"/>
    <n v="29.81"/>
    <n v="0"/>
    <n v="6.57"/>
    <n v="50"/>
    <n v="50"/>
    <m/>
    <m/>
    <m/>
  </r>
  <r>
    <x v="2"/>
    <x v="2"/>
    <n v="0"/>
    <n v="24.69"/>
    <n v="0"/>
    <n v="6.58"/>
    <n v="50"/>
    <n v="50"/>
    <m/>
    <m/>
    <m/>
  </r>
  <r>
    <x v="2"/>
    <x v="3"/>
    <n v="0"/>
    <n v="35.25"/>
    <n v="100"/>
    <n v="7.01"/>
    <n v="50"/>
    <n v="50"/>
    <m/>
    <m/>
    <m/>
  </r>
  <r>
    <x v="3"/>
    <x v="0"/>
    <n v="0"/>
    <n v="28.224489795918366"/>
    <n v="0"/>
    <n v="7.07"/>
    <n v="0"/>
    <n v="50"/>
    <m/>
    <m/>
    <m/>
  </r>
  <r>
    <x v="3"/>
    <x v="1"/>
    <n v="0"/>
    <n v="25.412105263157894"/>
    <n v="0"/>
    <n v="6.51"/>
    <n v="50"/>
    <n v="50"/>
    <m/>
    <m/>
    <m/>
  </r>
  <r>
    <x v="3"/>
    <x v="2"/>
    <n v="0"/>
    <n v="36.125"/>
    <n v="0"/>
    <s v="NÃO MANDOU"/>
    <n v="0"/>
    <n v="50"/>
    <m/>
    <m/>
    <m/>
  </r>
  <r>
    <x v="3"/>
    <x v="3"/>
    <n v="0"/>
    <n v="57.479444444444454"/>
    <n v="100"/>
    <n v="7.04"/>
    <n v="50"/>
    <n v="50"/>
    <m/>
    <m/>
    <m/>
  </r>
  <r>
    <x v="4"/>
    <x v="0"/>
    <n v="0"/>
    <n v="29.914893617021278"/>
    <n v="0"/>
    <n v="7.13"/>
    <n v="0"/>
    <n v="50"/>
    <m/>
    <m/>
    <m/>
  </r>
  <r>
    <x v="4"/>
    <x v="1"/>
    <n v="150"/>
    <n v="27.343939393939394"/>
    <n v="0"/>
    <n v="6.52"/>
    <n v="50"/>
    <n v="50"/>
    <m/>
    <m/>
    <m/>
  </r>
  <r>
    <x v="4"/>
    <x v="2"/>
    <n v="150"/>
    <n v="33.139347826086961"/>
    <n v="100"/>
    <n v="7.02"/>
    <n v="50"/>
    <n v="50"/>
    <m/>
    <m/>
    <m/>
  </r>
  <r>
    <x v="4"/>
    <x v="3"/>
    <n v="150"/>
    <n v="32.857818181818182"/>
    <n v="0"/>
    <n v="7.05"/>
    <n v="50"/>
    <n v="50"/>
    <m/>
    <m/>
    <m/>
  </r>
  <r>
    <x v="5"/>
    <x v="0"/>
    <n v="0"/>
    <n v="33.021276595744681"/>
    <n v="100"/>
    <n v="7"/>
    <n v="50"/>
    <n v="50"/>
    <m/>
    <m/>
    <m/>
  </r>
  <r>
    <x v="5"/>
    <x v="1"/>
    <n v="0"/>
    <n v="25.957407407407409"/>
    <n v="0"/>
    <n v="6.56"/>
    <n v="50"/>
    <n v="50"/>
    <m/>
    <m/>
    <m/>
  </r>
  <r>
    <x v="5"/>
    <x v="2"/>
    <n v="0"/>
    <n v="27.615106382978727"/>
    <n v="0"/>
    <n v="6.59"/>
    <n v="50"/>
    <n v="50"/>
    <m/>
    <m/>
    <m/>
  </r>
  <r>
    <x v="5"/>
    <x v="3"/>
    <n v="0"/>
    <n v="26.801063829787235"/>
    <n v="0"/>
    <n v="7.03"/>
    <n v="50"/>
    <n v="50"/>
    <m/>
    <m/>
    <m/>
  </r>
  <r>
    <x v="6"/>
    <x v="0"/>
    <n v="0"/>
    <n v="16.8"/>
    <n v="0"/>
    <n v="7.01"/>
    <n v="50"/>
    <n v="50"/>
    <m/>
    <m/>
    <m/>
  </r>
  <r>
    <x v="6"/>
    <x v="1"/>
    <n v="150"/>
    <n v="19.510000000000002"/>
    <n v="0"/>
    <n v="6.54"/>
    <n v="50"/>
    <n v="50"/>
    <m/>
    <m/>
    <m/>
  </r>
  <r>
    <x v="6"/>
    <x v="2"/>
    <n v="150"/>
    <n v="18.260000000000002"/>
    <n v="0"/>
    <n v="6.56"/>
    <n v="50"/>
    <n v="50"/>
    <m/>
    <m/>
    <m/>
  </r>
  <r>
    <x v="6"/>
    <x v="3"/>
    <n v="150"/>
    <n v="65.94"/>
    <n v="100"/>
    <n v="6.56"/>
    <n v="50"/>
    <n v="50"/>
    <m/>
    <m/>
    <m/>
  </r>
  <r>
    <x v="7"/>
    <x v="0"/>
    <n v="150"/>
    <n v="16.59"/>
    <n v="0"/>
    <n v="7.03"/>
    <n v="50"/>
    <n v="50"/>
    <m/>
    <m/>
    <m/>
  </r>
  <r>
    <x v="7"/>
    <x v="1"/>
    <n v="0"/>
    <n v="14.5"/>
    <n v="0"/>
    <n v="7.03"/>
    <n v="50"/>
    <n v="50"/>
    <m/>
    <m/>
    <m/>
  </r>
  <r>
    <x v="7"/>
    <x v="2"/>
    <n v="150"/>
    <n v="18.07"/>
    <n v="0"/>
    <n v="7.01"/>
    <n v="50"/>
    <n v="50"/>
    <m/>
    <m/>
    <m/>
  </r>
  <r>
    <x v="7"/>
    <x v="3"/>
    <n v="150"/>
    <n v="49.04"/>
    <n v="100"/>
    <n v="7.03"/>
    <n v="50"/>
    <n v="50"/>
    <m/>
    <m/>
    <m/>
  </r>
  <r>
    <x v="8"/>
    <x v="0"/>
    <n v="150"/>
    <n v="15.418965517241382"/>
    <n v="0"/>
    <n v="7.03"/>
    <n v="50"/>
    <n v="50"/>
    <m/>
    <m/>
    <m/>
  </r>
  <r>
    <x v="8"/>
    <x v="1"/>
    <n v="150"/>
    <n v="16.532894736842106"/>
    <n v="0"/>
    <n v="7.03"/>
    <n v="50"/>
    <n v="50"/>
    <m/>
    <m/>
    <m/>
  </r>
  <r>
    <x v="8"/>
    <x v="2"/>
    <n v="0"/>
    <n v="15.58188679245284"/>
    <n v="0"/>
    <n v="7.03"/>
    <n v="50"/>
    <n v="50"/>
    <m/>
    <m/>
    <m/>
  </r>
  <r>
    <x v="8"/>
    <x v="3"/>
    <n v="150"/>
    <n v="24.206181818181825"/>
    <n v="100"/>
    <n v="7.03"/>
    <n v="50"/>
    <n v="50"/>
    <m/>
    <m/>
    <m/>
  </r>
  <r>
    <x v="9"/>
    <x v="0"/>
    <n v="0"/>
    <n v="16.06371428571429"/>
    <n v="0"/>
    <n v="7.03"/>
    <n v="50"/>
    <n v="50"/>
    <m/>
    <m/>
    <m/>
  </r>
  <r>
    <x v="9"/>
    <x v="1"/>
    <n v="0"/>
    <n v="15.965882352941181"/>
    <n v="0"/>
    <n v="7.11"/>
    <n v="0"/>
    <n v="50"/>
    <m/>
    <m/>
    <m/>
  </r>
  <r>
    <x v="9"/>
    <x v="2"/>
    <n v="0"/>
    <n v="28.549250000000008"/>
    <n v="100"/>
    <n v="7.03"/>
    <n v="50"/>
    <n v="50"/>
    <m/>
    <m/>
    <m/>
  </r>
  <r>
    <x v="9"/>
    <x v="3"/>
    <n v="150"/>
    <n v="21.259888888888888"/>
    <n v="0"/>
    <n v="7.03"/>
    <n v="50"/>
    <n v="50"/>
    <m/>
    <m/>
    <m/>
  </r>
  <r>
    <x v="10"/>
    <x v="0"/>
    <n v="0"/>
    <n v="16.409480519480521"/>
    <n v="100"/>
    <n v="7"/>
    <n v="50"/>
    <n v="50"/>
    <m/>
    <m/>
    <m/>
  </r>
  <r>
    <x v="10"/>
    <x v="1"/>
    <n v="150"/>
    <n v="16.041463414634148"/>
    <n v="0"/>
    <n v="7.08"/>
    <n v="0"/>
    <n v="50"/>
    <m/>
    <m/>
    <m/>
  </r>
  <r>
    <x v="10"/>
    <x v="2"/>
    <n v="150"/>
    <n v="19.709452054794529"/>
    <n v="0"/>
    <n v="7.03"/>
    <n v="50"/>
    <n v="50"/>
    <m/>
    <m/>
    <m/>
  </r>
  <r>
    <x v="10"/>
    <x v="3"/>
    <n v="150"/>
    <n v="20.28378378378379"/>
    <n v="100"/>
    <n v="7.03"/>
    <n v="50"/>
    <n v="50"/>
    <m/>
    <m/>
    <m/>
  </r>
  <r>
    <x v="11"/>
    <x v="0"/>
    <n v="150"/>
    <n v="45.96"/>
    <n v="0"/>
    <n v="7.06"/>
    <n v="0"/>
    <n v="50"/>
    <m/>
    <m/>
    <m/>
  </r>
  <r>
    <x v="11"/>
    <x v="1"/>
    <n v="150"/>
    <n v="130.38999999999999"/>
    <n v="100"/>
    <n v="7.03"/>
    <n v="50"/>
    <n v="50"/>
    <m/>
    <m/>
    <m/>
  </r>
  <r>
    <x v="11"/>
    <x v="2"/>
    <n v="150"/>
    <n v="30.59"/>
    <n v="0"/>
    <n v="7.03"/>
    <n v="50"/>
    <n v="50"/>
    <m/>
    <m/>
    <m/>
  </r>
  <r>
    <x v="11"/>
    <x v="3"/>
    <n v="150"/>
    <n v="28.36"/>
    <n v="0"/>
    <n v="7.03"/>
    <n v="50"/>
    <n v="50"/>
    <m/>
    <m/>
    <m/>
  </r>
  <r>
    <x v="12"/>
    <x v="0"/>
    <n v="150"/>
    <n v="25.46"/>
    <n v="0"/>
    <n v="7.03"/>
    <n v="50"/>
    <n v="50"/>
    <m/>
    <m/>
    <m/>
  </r>
  <r>
    <x v="12"/>
    <x v="1"/>
    <n v="150"/>
    <n v="23.05"/>
    <n v="0"/>
    <n v="7.03"/>
    <n v="50"/>
    <n v="50"/>
    <m/>
    <m/>
    <m/>
  </r>
  <r>
    <x v="12"/>
    <x v="2"/>
    <n v="0"/>
    <n v="46.91"/>
    <n v="100"/>
    <n v="7.03"/>
    <n v="50"/>
    <n v="50"/>
    <m/>
    <m/>
    <m/>
  </r>
  <r>
    <x v="12"/>
    <x v="3"/>
    <n v="150"/>
    <n v="28.08"/>
    <n v="0"/>
    <n v="7.03"/>
    <n v="50"/>
    <n v="50"/>
    <m/>
    <m/>
    <m/>
  </r>
  <r>
    <x v="13"/>
    <x v="0"/>
    <n v="150"/>
    <n v="0"/>
    <n v="100"/>
    <n v="7.03"/>
    <n v="50"/>
    <n v="50"/>
    <m/>
    <m/>
    <m/>
  </r>
  <r>
    <x v="13"/>
    <x v="1"/>
    <n v="0"/>
    <n v="0"/>
    <n v="0"/>
    <n v="7.03"/>
    <n v="50"/>
    <n v="50"/>
    <m/>
    <m/>
    <m/>
  </r>
  <r>
    <x v="13"/>
    <x v="2"/>
    <n v="0"/>
    <n v="0"/>
    <n v="0"/>
    <n v="7.03"/>
    <n v="50"/>
    <n v="50"/>
    <m/>
    <m/>
    <m/>
  </r>
  <r>
    <x v="13"/>
    <x v="3"/>
    <n v="150"/>
    <n v="0"/>
    <n v="0"/>
    <n v="7.03"/>
    <n v="50"/>
    <n v="50"/>
    <m/>
    <m/>
    <m/>
  </r>
  <r>
    <x v="14"/>
    <x v="0"/>
    <n v="150"/>
    <n v="0"/>
    <n v="0"/>
    <n v="7.03"/>
    <n v="50"/>
    <n v="50"/>
    <m/>
    <m/>
    <m/>
  </r>
  <r>
    <x v="14"/>
    <x v="1"/>
    <n v="0"/>
    <n v="0"/>
    <n v="0"/>
    <n v="7.03"/>
    <n v="50"/>
    <n v="50"/>
    <m/>
    <m/>
    <m/>
  </r>
  <r>
    <x v="14"/>
    <x v="2"/>
    <n v="0"/>
    <n v="0"/>
    <n v="0"/>
    <n v="7.03"/>
    <n v="50"/>
    <n v="50"/>
    <m/>
    <m/>
    <m/>
  </r>
  <r>
    <x v="14"/>
    <x v="3"/>
    <n v="150"/>
    <n v="0"/>
    <n v="100"/>
    <n v="7.03"/>
    <n v="50"/>
    <n v="50"/>
    <m/>
    <m/>
    <m/>
  </r>
  <r>
    <x v="15"/>
    <x v="0"/>
    <n v="0"/>
    <n v="0"/>
    <n v="0"/>
    <n v="7.03"/>
    <n v="50"/>
    <n v="50"/>
    <m/>
    <m/>
    <m/>
  </r>
  <r>
    <x v="15"/>
    <x v="1"/>
    <n v="0"/>
    <n v="0"/>
    <n v="0"/>
    <n v="7.03"/>
    <n v="50"/>
    <n v="50"/>
    <m/>
    <m/>
    <m/>
  </r>
  <r>
    <x v="15"/>
    <x v="2"/>
    <n v="150"/>
    <n v="0"/>
    <n v="100"/>
    <n v="7.03"/>
    <n v="50"/>
    <n v="50"/>
    <m/>
    <m/>
    <m/>
  </r>
  <r>
    <x v="15"/>
    <x v="3"/>
    <n v="150"/>
    <n v="0"/>
    <n v="0"/>
    <n v="7.03"/>
    <n v="50"/>
    <n v="50"/>
    <m/>
    <m/>
    <m/>
  </r>
  <r>
    <x v="16"/>
    <x v="0"/>
    <n v="0"/>
    <n v="0"/>
    <n v="0"/>
    <n v="7.03"/>
    <n v="50"/>
    <n v="50"/>
    <m/>
    <m/>
    <m/>
  </r>
  <r>
    <x v="16"/>
    <x v="1"/>
    <n v="0"/>
    <n v="0"/>
    <n v="0"/>
    <n v="7.03"/>
    <n v="50"/>
    <n v="50"/>
    <m/>
    <m/>
    <m/>
  </r>
  <r>
    <x v="16"/>
    <x v="2"/>
    <n v="0"/>
    <n v="0"/>
    <n v="0"/>
    <n v="7.03"/>
    <n v="50"/>
    <n v="50"/>
    <m/>
    <m/>
    <m/>
  </r>
  <r>
    <x v="16"/>
    <x v="3"/>
    <n v="0"/>
    <n v="0"/>
    <n v="0"/>
    <n v="7.03"/>
    <n v="50"/>
    <n v="50"/>
    <m/>
    <m/>
    <m/>
  </r>
  <r>
    <x v="17"/>
    <x v="0"/>
    <n v="0"/>
    <n v="0"/>
    <n v="0"/>
    <n v="7.03"/>
    <n v="50"/>
    <n v="50"/>
    <m/>
    <m/>
    <m/>
  </r>
  <r>
    <x v="17"/>
    <x v="1"/>
    <n v="0"/>
    <n v="0"/>
    <n v="0"/>
    <n v="7.03"/>
    <n v="50"/>
    <n v="50"/>
    <m/>
    <m/>
    <m/>
  </r>
  <r>
    <x v="17"/>
    <x v="2"/>
    <n v="0"/>
    <n v="0"/>
    <n v="0"/>
    <n v="7.03"/>
    <n v="50"/>
    <n v="50"/>
    <m/>
    <m/>
    <m/>
  </r>
  <r>
    <x v="17"/>
    <x v="3"/>
    <n v="0"/>
    <n v="0"/>
    <n v="0"/>
    <n v="7.03"/>
    <n v="50"/>
    <n v="50"/>
    <m/>
    <m/>
    <m/>
  </r>
  <r>
    <x v="18"/>
    <x v="0"/>
    <n v="0"/>
    <n v="0"/>
    <n v="0"/>
    <n v="7.03"/>
    <n v="50"/>
    <n v="50"/>
    <m/>
    <m/>
    <m/>
  </r>
  <r>
    <x v="18"/>
    <x v="1"/>
    <n v="0"/>
    <n v="0"/>
    <n v="0"/>
    <n v="7.03"/>
    <n v="50"/>
    <n v="50"/>
    <m/>
    <m/>
    <m/>
  </r>
  <r>
    <x v="18"/>
    <x v="2"/>
    <n v="0"/>
    <n v="0"/>
    <n v="0"/>
    <n v="7.03"/>
    <n v="50"/>
    <n v="50"/>
    <m/>
    <m/>
    <m/>
  </r>
  <r>
    <x v="18"/>
    <x v="3"/>
    <n v="0"/>
    <n v="0"/>
    <n v="0"/>
    <n v="7.03"/>
    <n v="50"/>
    <n v="50"/>
    <m/>
    <m/>
    <m/>
  </r>
  <r>
    <x v="19"/>
    <x v="0"/>
    <n v="150"/>
    <n v="0"/>
    <n v="0"/>
    <n v="7.03"/>
    <n v="50"/>
    <n v="50"/>
    <m/>
    <m/>
    <m/>
  </r>
  <r>
    <x v="19"/>
    <x v="1"/>
    <n v="150"/>
    <n v="0"/>
    <n v="0"/>
    <n v="7.03"/>
    <n v="50"/>
    <n v="50"/>
    <m/>
    <m/>
    <m/>
  </r>
  <r>
    <x v="19"/>
    <x v="2"/>
    <n v="150"/>
    <n v="0"/>
    <n v="0"/>
    <n v="7.03"/>
    <n v="50"/>
    <n v="50"/>
    <m/>
    <m/>
    <m/>
  </r>
  <r>
    <x v="19"/>
    <x v="3"/>
    <n v="150"/>
    <n v="0"/>
    <n v="100"/>
    <n v="7.03"/>
    <n v="50"/>
    <n v="50"/>
    <m/>
    <m/>
    <m/>
  </r>
  <r>
    <x v="20"/>
    <x v="0"/>
    <n v="100"/>
    <n v="26.91"/>
    <n v="0"/>
    <n v="7.03"/>
    <n v="50"/>
    <n v="50"/>
    <m/>
    <m/>
    <n v="0"/>
  </r>
  <r>
    <x v="20"/>
    <x v="1"/>
    <n v="0"/>
    <n v="19.02"/>
    <n v="0"/>
    <n v="7.03"/>
    <n v="50"/>
    <n v="50"/>
    <m/>
    <m/>
    <n v="0"/>
  </r>
  <r>
    <x v="20"/>
    <x v="2"/>
    <n v="0"/>
    <n v="17.920000000000002"/>
    <n v="0"/>
    <n v="7.03"/>
    <n v="50"/>
    <n v="50"/>
    <m/>
    <m/>
    <n v="100"/>
  </r>
  <r>
    <x v="20"/>
    <x v="3"/>
    <n v="100"/>
    <n v="29.66"/>
    <n v="100"/>
    <n v="7.03"/>
    <n v="50"/>
    <n v="50"/>
    <m/>
    <m/>
    <n v="0"/>
  </r>
  <r>
    <x v="21"/>
    <x v="0"/>
    <n v="0"/>
    <n v="30.5"/>
    <n v="0"/>
    <n v="7.03"/>
    <n v="50"/>
    <n v="50"/>
    <m/>
    <m/>
    <n v="0"/>
  </r>
  <r>
    <x v="21"/>
    <x v="1"/>
    <n v="0"/>
    <n v="15.62"/>
    <n v="0"/>
    <n v="7.03"/>
    <n v="50"/>
    <n v="50"/>
    <m/>
    <m/>
    <n v="0"/>
  </r>
  <r>
    <x v="21"/>
    <x v="2"/>
    <n v="100"/>
    <n v="26.54"/>
    <n v="0"/>
    <n v="7.03"/>
    <n v="50"/>
    <n v="50"/>
    <m/>
    <m/>
    <n v="100"/>
  </r>
  <r>
    <x v="21"/>
    <x v="3"/>
    <n v="100"/>
    <n v="57.9"/>
    <n v="100"/>
    <n v="7.03"/>
    <n v="50"/>
    <n v="50"/>
    <m/>
    <m/>
    <n v="100"/>
  </r>
  <r>
    <x v="22"/>
    <x v="0"/>
    <n v="0"/>
    <n v="21.87"/>
    <n v="0"/>
    <n v="7.03"/>
    <n v="50"/>
    <n v="50"/>
    <m/>
    <m/>
    <n v="0"/>
  </r>
  <r>
    <x v="22"/>
    <x v="1"/>
    <n v="100"/>
    <n v="23.59"/>
    <n v="0"/>
    <n v="7.03"/>
    <n v="50"/>
    <n v="50"/>
    <m/>
    <m/>
    <n v="0"/>
  </r>
  <r>
    <x v="22"/>
    <x v="2"/>
    <n v="0"/>
    <n v="20.95"/>
    <n v="0"/>
    <n v="7.03"/>
    <n v="50"/>
    <n v="50"/>
    <m/>
    <m/>
    <n v="100"/>
  </r>
  <r>
    <x v="22"/>
    <x v="3"/>
    <n v="100"/>
    <n v="35.4"/>
    <n v="100"/>
    <n v="7.03"/>
    <n v="50"/>
    <n v="50"/>
    <m/>
    <m/>
    <n v="0"/>
  </r>
  <r>
    <x v="23"/>
    <x v="0"/>
    <n v="0"/>
    <n v="24.9933870967742"/>
    <n v="0"/>
    <n v="7.03"/>
    <n v="50"/>
    <n v="50"/>
    <n v="6"/>
    <n v="8.4"/>
    <n v="0"/>
  </r>
  <r>
    <x v="23"/>
    <x v="1"/>
    <n v="0"/>
    <n v="24.818421052631582"/>
    <n v="0"/>
    <n v="7.03"/>
    <n v="50"/>
    <n v="50"/>
    <n v="5"/>
    <n v="3.625"/>
    <n v="100"/>
  </r>
  <r>
    <x v="23"/>
    <x v="2"/>
    <n v="0"/>
    <n v="23.663492063492065"/>
    <n v="0"/>
    <n v="7.03"/>
    <n v="50"/>
    <n v="50"/>
    <n v="16"/>
    <n v="11.11111111"/>
    <n v="100"/>
  </r>
  <r>
    <x v="23"/>
    <x v="3"/>
    <n v="100"/>
    <n v="44.051702127659581"/>
    <n v="100"/>
    <n v="7.03"/>
    <n v="50"/>
    <n v="50"/>
    <n v="5"/>
    <n v="5.6666666670000003"/>
    <n v="0"/>
  </r>
  <r>
    <x v="24"/>
    <x v="0"/>
    <n v="0"/>
    <n v="28.856666666666669"/>
    <n v="0"/>
    <n v="7.03"/>
    <n v="50"/>
    <n v="50"/>
    <n v="11"/>
    <n v="8.4"/>
    <n v="100"/>
  </r>
  <r>
    <x v="24"/>
    <x v="1"/>
    <n v="0"/>
    <n v="26.590000000000003"/>
    <n v="0"/>
    <n v="7.03"/>
    <n v="50"/>
    <n v="50"/>
    <n v="1"/>
    <n v="3.625"/>
    <n v="0"/>
  </r>
  <r>
    <x v="24"/>
    <x v="2"/>
    <n v="0"/>
    <n v="22.554444444444449"/>
    <n v="0"/>
    <n v="7.03"/>
    <n v="50"/>
    <n v="50"/>
    <n v="18"/>
    <n v="11.11111111"/>
    <n v="100"/>
  </r>
  <r>
    <x v="24"/>
    <x v="3"/>
    <n v="100"/>
    <n v="58.088717948717949"/>
    <n v="100"/>
    <n v="7.03"/>
    <n v="50"/>
    <n v="50"/>
    <n v="1"/>
    <n v="5.6666666670000003"/>
    <n v="0"/>
  </r>
  <r>
    <x v="25"/>
    <x v="0"/>
    <n v="0"/>
    <n v="31.059743589743601"/>
    <n v="0"/>
    <n v="7.03"/>
    <n v="50"/>
    <n v="50"/>
    <n v="10"/>
    <n v="8.4"/>
    <n v="100"/>
  </r>
  <r>
    <x v="25"/>
    <x v="1"/>
    <n v="100"/>
    <n v="25.143076923076926"/>
    <n v="0"/>
    <n v="7.03"/>
    <n v="50"/>
    <n v="50"/>
    <n v="4"/>
    <n v="3.625"/>
    <n v="100"/>
  </r>
  <r>
    <x v="25"/>
    <x v="2"/>
    <n v="0"/>
    <n v="24.970172413793112"/>
    <n v="0"/>
    <n v="7.03"/>
    <n v="50"/>
    <n v="50"/>
    <n v="14"/>
    <n v="11.11111111"/>
    <n v="100"/>
  </r>
  <r>
    <x v="25"/>
    <x v="3"/>
    <n v="100"/>
    <n v="54.479512195121949"/>
    <n v="100"/>
    <n v="7.03"/>
    <n v="50"/>
    <n v="50"/>
    <m/>
    <n v="5.6666666670000003"/>
    <n v="0"/>
  </r>
  <r>
    <x v="26"/>
    <x v="0"/>
    <n v="0"/>
    <n v="26.98295454545455"/>
    <n v="0"/>
    <n v="7.03"/>
    <n v="50"/>
    <n v="50"/>
    <n v="7"/>
    <n v="8.4"/>
    <n v="0"/>
  </r>
  <r>
    <x v="26"/>
    <x v="1"/>
    <n v="0"/>
    <n v="35.085000000000001"/>
    <n v="100"/>
    <n v="7.03"/>
    <n v="50"/>
    <n v="50"/>
    <n v="3"/>
    <n v="3.625"/>
    <n v="0"/>
  </r>
  <r>
    <x v="26"/>
    <x v="2"/>
    <n v="0"/>
    <n v="25.855689655172423"/>
    <n v="0"/>
    <n v="7.03"/>
    <n v="50"/>
    <n v="50"/>
    <n v="23"/>
    <n v="11.11111111"/>
    <n v="100"/>
  </r>
  <r>
    <x v="26"/>
    <x v="3"/>
    <n v="100"/>
    <n v="26.708860759493682"/>
    <n v="0"/>
    <n v="7.03"/>
    <n v="50"/>
    <n v="50"/>
    <n v="0"/>
    <n v="5.6666666670000003"/>
    <n v="0"/>
  </r>
  <r>
    <x v="27"/>
    <x v="0"/>
    <n v="100"/>
    <n v="0"/>
    <n v="0"/>
    <n v="7.03"/>
    <n v="50"/>
    <n v="50"/>
    <n v="14"/>
    <n v="8.4"/>
    <n v="100"/>
  </r>
  <r>
    <x v="27"/>
    <x v="1"/>
    <n v="100"/>
    <n v="0"/>
    <n v="0"/>
    <n v="7.03"/>
    <n v="50"/>
    <n v="50"/>
    <n v="1"/>
    <n v="3.625"/>
    <n v="0"/>
  </r>
  <r>
    <x v="27"/>
    <x v="2"/>
    <n v="100"/>
    <n v="0"/>
    <n v="0"/>
    <n v="7.03"/>
    <n v="50"/>
    <n v="50"/>
    <n v="5"/>
    <n v="11.11111111"/>
    <n v="0"/>
  </r>
  <r>
    <x v="27"/>
    <x v="3"/>
    <n v="100"/>
    <n v="0"/>
    <n v="0"/>
    <n v="7.03"/>
    <n v="50"/>
    <n v="50"/>
    <n v="0"/>
    <n v="5.6666666670000003"/>
    <n v="0"/>
  </r>
  <r>
    <x v="28"/>
    <x v="0"/>
    <n v="0"/>
    <n v="0"/>
    <n v="0"/>
    <n v="7.03"/>
    <n v="50"/>
    <n v="50"/>
    <n v="7"/>
    <n v="8.4"/>
    <n v="100"/>
  </r>
  <r>
    <x v="28"/>
    <x v="1"/>
    <n v="0"/>
    <n v="0"/>
    <n v="0"/>
    <n v="7.03"/>
    <n v="50"/>
    <n v="50"/>
    <n v="2"/>
    <n v="3.625"/>
    <n v="0"/>
  </r>
  <r>
    <x v="28"/>
    <x v="2"/>
    <n v="0"/>
    <n v="0"/>
    <n v="0"/>
    <n v="7.03"/>
    <n v="50"/>
    <n v="50"/>
    <n v="13"/>
    <n v="11.11111111"/>
    <n v="100"/>
  </r>
  <r>
    <x v="28"/>
    <x v="3"/>
    <n v="100"/>
    <n v="0"/>
    <n v="0"/>
    <n v="7.03"/>
    <n v="50"/>
    <n v="50"/>
    <n v="2"/>
    <n v="5.6666666670000003"/>
    <n v="0"/>
  </r>
  <r>
    <x v="29"/>
    <x v="0"/>
    <n v="0"/>
    <n v="0"/>
    <n v="0"/>
    <n v="7.03"/>
    <n v="50"/>
    <n v="50"/>
    <n v="5"/>
    <n v="8.4"/>
    <n v="0"/>
  </r>
  <r>
    <x v="29"/>
    <x v="1"/>
    <n v="100"/>
    <n v="0"/>
    <n v="0"/>
    <n v="7.03"/>
    <n v="50"/>
    <n v="50"/>
    <n v="8"/>
    <n v="3.625"/>
    <n v="100"/>
  </r>
  <r>
    <x v="29"/>
    <x v="2"/>
    <n v="0"/>
    <n v="0"/>
    <n v="0"/>
    <n v="7.03"/>
    <n v="50"/>
    <n v="50"/>
    <n v="14"/>
    <n v="11.11111111"/>
    <n v="100"/>
  </r>
  <r>
    <x v="29"/>
    <x v="3"/>
    <n v="100"/>
    <n v="0"/>
    <n v="0"/>
    <n v="7.03"/>
    <n v="50"/>
    <n v="50"/>
    <n v="1"/>
    <n v="5.6666666670000003"/>
    <n v="0"/>
  </r>
  <r>
    <x v="30"/>
    <x v="0"/>
    <n v="0"/>
    <n v="0"/>
    <n v="0"/>
    <n v="7.03"/>
    <n v="50"/>
    <n v="50"/>
    <n v="3"/>
    <n v="8.4"/>
    <n v="0"/>
  </r>
  <r>
    <x v="30"/>
    <x v="1"/>
    <n v="0"/>
    <n v="0"/>
    <n v="0"/>
    <n v="7.03"/>
    <n v="50"/>
    <n v="50"/>
    <n v="2"/>
    <n v="3.625"/>
    <n v="0"/>
  </r>
  <r>
    <x v="30"/>
    <x v="2"/>
    <n v="0"/>
    <n v="0"/>
    <n v="0"/>
    <n v="7.03"/>
    <n v="50"/>
    <n v="50"/>
    <n v="14"/>
    <n v="11.11111111"/>
    <n v="100"/>
  </r>
  <r>
    <x v="30"/>
    <x v="3"/>
    <n v="100"/>
    <n v="0"/>
    <n v="0"/>
    <n v="7.03"/>
    <n v="50"/>
    <n v="50"/>
    <n v="2"/>
    <n v="5.6666666670000003"/>
    <n v="0"/>
  </r>
  <r>
    <x v="31"/>
    <x v="0"/>
    <n v="0"/>
    <n v="0"/>
    <n v="0"/>
    <n v="7.03"/>
    <n v="50"/>
    <n v="50"/>
    <n v="6"/>
    <n v="8.4"/>
    <n v="0"/>
  </r>
  <r>
    <x v="31"/>
    <x v="1"/>
    <n v="100"/>
    <n v="0"/>
    <n v="0"/>
    <n v="7.03"/>
    <n v="50"/>
    <n v="50"/>
    <n v="3"/>
    <n v="3.625"/>
    <n v="0"/>
  </r>
  <r>
    <x v="31"/>
    <x v="2"/>
    <n v="0"/>
    <n v="0"/>
    <n v="0"/>
    <n v="7.03"/>
    <n v="50"/>
    <n v="50"/>
    <n v="9"/>
    <n v="11.11111111"/>
    <n v="0"/>
  </r>
  <r>
    <x v="31"/>
    <x v="3"/>
    <n v="100"/>
    <n v="0"/>
    <n v="0"/>
    <n v="7.03"/>
    <n v="50"/>
    <n v="50"/>
    <n v="0"/>
    <n v="5.6666666670000003"/>
    <n v="0"/>
  </r>
  <r>
    <x v="32"/>
    <x v="0"/>
    <n v="0"/>
    <n v="0"/>
    <n v="0"/>
    <n v="7.03"/>
    <n v="50"/>
    <n v="50"/>
    <n v="3"/>
    <n v="8.4"/>
    <n v="0"/>
  </r>
  <r>
    <x v="32"/>
    <x v="1"/>
    <n v="0"/>
    <n v="0"/>
    <n v="0"/>
    <n v="7.03"/>
    <n v="50"/>
    <n v="50"/>
    <n v="1"/>
    <n v="3.625"/>
    <n v="0"/>
  </r>
  <r>
    <x v="32"/>
    <x v="2"/>
    <n v="0"/>
    <n v="0"/>
    <n v="0"/>
    <n v="7.03"/>
    <n v="50"/>
    <n v="50"/>
    <n v="24"/>
    <n v="11.11111111"/>
    <n v="100"/>
  </r>
  <r>
    <x v="32"/>
    <x v="3"/>
    <n v="100"/>
    <n v="0"/>
    <n v="0"/>
    <n v="7.03"/>
    <n v="50"/>
    <n v="50"/>
    <n v="10"/>
    <n v="5.6666666670000003"/>
    <n v="100"/>
  </r>
  <r>
    <x v="33"/>
    <x v="0"/>
    <n v="0"/>
    <n v="0"/>
    <n v="0"/>
    <n v="7.03"/>
    <n v="50"/>
    <n v="50"/>
    <n v="3"/>
    <n v="8.4"/>
    <n v="0"/>
  </r>
  <r>
    <x v="33"/>
    <x v="1"/>
    <n v="100"/>
    <n v="0"/>
    <n v="0"/>
    <n v="7.03"/>
    <n v="50"/>
    <n v="50"/>
    <n v="0"/>
    <n v="3.625"/>
    <n v="0"/>
  </r>
  <r>
    <x v="33"/>
    <x v="2"/>
    <n v="0"/>
    <n v="0"/>
    <n v="0"/>
    <n v="7.03"/>
    <n v="50"/>
    <n v="50"/>
    <n v="14"/>
    <n v="11.11111111"/>
    <n v="100"/>
  </r>
  <r>
    <x v="33"/>
    <x v="3"/>
    <n v="100"/>
    <n v="0"/>
    <n v="0"/>
    <n v="7.16"/>
    <n v="0"/>
    <n v="50"/>
    <n v="13"/>
    <n v="5.6666666670000003"/>
    <n v="100"/>
  </r>
  <r>
    <x v="34"/>
    <x v="0"/>
    <n v="100"/>
    <n v="0"/>
    <n v="0"/>
    <n v="7.03"/>
    <n v="50"/>
    <n v="50"/>
    <n v="4"/>
    <n v="8.4"/>
    <n v="0"/>
  </r>
  <r>
    <x v="34"/>
    <x v="1"/>
    <n v="100"/>
    <n v="0"/>
    <n v="0"/>
    <n v="7.03"/>
    <n v="50"/>
    <n v="50"/>
    <n v="1"/>
    <n v="3.625"/>
    <n v="0"/>
  </r>
  <r>
    <x v="34"/>
    <x v="2"/>
    <n v="0"/>
    <n v="0"/>
    <n v="0"/>
    <n v="7.03"/>
    <n v="50"/>
    <n v="50"/>
    <n v="10"/>
    <n v="11.11111111"/>
    <n v="0"/>
  </r>
  <r>
    <x v="34"/>
    <x v="3"/>
    <n v="0"/>
    <n v="0"/>
    <n v="0"/>
    <n v="7.03"/>
    <n v="50"/>
    <n v="50"/>
    <n v="1"/>
    <n v="5.6666666670000003"/>
    <n v="0"/>
  </r>
  <r>
    <x v="35"/>
    <x v="0"/>
    <n v="0"/>
    <n v="0"/>
    <n v="0"/>
    <n v="7.03"/>
    <n v="50"/>
    <n v="50"/>
    <n v="0"/>
    <n v="8.4"/>
    <n v="0"/>
  </r>
  <r>
    <x v="35"/>
    <x v="1"/>
    <n v="0"/>
    <n v="0"/>
    <n v="0"/>
    <n v="7.03"/>
    <n v="50"/>
    <n v="50"/>
    <n v="4"/>
    <n v="3.625"/>
    <n v="100"/>
  </r>
  <r>
    <x v="35"/>
    <x v="2"/>
    <n v="0"/>
    <n v="0"/>
    <n v="0"/>
    <n v="7.03"/>
    <n v="50"/>
    <n v="50"/>
    <n v="5"/>
    <n v="11.11111111"/>
    <n v="0"/>
  </r>
  <r>
    <x v="35"/>
    <x v="3"/>
    <n v="100"/>
    <n v="0"/>
    <n v="0"/>
    <n v="7.03"/>
    <n v="50"/>
    <n v="50"/>
    <n v="9"/>
    <n v="5.6666666670000003"/>
    <n v="100"/>
  </r>
  <r>
    <x v="36"/>
    <x v="0"/>
    <n v="0"/>
    <n v="0"/>
    <n v="0"/>
    <n v="7.03"/>
    <n v="50"/>
    <n v="50"/>
    <n v="13"/>
    <n v="8.4"/>
    <n v="100"/>
  </r>
  <r>
    <x v="36"/>
    <x v="1"/>
    <n v="0"/>
    <n v="0"/>
    <n v="0"/>
    <n v="7.03"/>
    <n v="50"/>
    <n v="50"/>
    <n v="1"/>
    <n v="3.625"/>
    <n v="0"/>
  </r>
  <r>
    <x v="36"/>
    <x v="2"/>
    <n v="0"/>
    <n v="0"/>
    <n v="0"/>
    <n v="7.03"/>
    <n v="50"/>
    <n v="50"/>
    <n v="16"/>
    <n v="11.11111111"/>
    <n v="100"/>
  </r>
  <r>
    <x v="36"/>
    <x v="3"/>
    <n v="100"/>
    <n v="0"/>
    <n v="0"/>
    <n v="7.03"/>
    <n v="50"/>
    <n v="50"/>
    <n v="8"/>
    <n v="5.6666666670000003"/>
    <n v="100"/>
  </r>
  <r>
    <x v="37"/>
    <x v="0"/>
    <n v="0"/>
    <n v="0"/>
    <n v="0"/>
    <n v="7.03"/>
    <n v="50"/>
    <n v="50"/>
    <n v="9"/>
    <n v="8.4"/>
    <n v="100"/>
  </r>
  <r>
    <x v="37"/>
    <x v="1"/>
    <n v="0"/>
    <n v="0"/>
    <n v="0"/>
    <n v="7.03"/>
    <n v="50"/>
    <n v="50"/>
    <n v="1"/>
    <n v="3.625"/>
    <n v="0"/>
  </r>
  <r>
    <x v="37"/>
    <x v="2"/>
    <n v="0"/>
    <n v="0"/>
    <n v="0"/>
    <n v="7.03"/>
    <n v="50"/>
    <n v="50"/>
    <n v="14"/>
    <n v="11.11111111"/>
    <n v="100"/>
  </r>
  <r>
    <x v="37"/>
    <x v="3"/>
    <n v="100"/>
    <n v="0"/>
    <n v="0"/>
    <n v="7.03"/>
    <n v="50"/>
    <n v="50"/>
    <n v="12"/>
    <n v="5.6666666670000003"/>
    <n v="100"/>
  </r>
  <r>
    <x v="38"/>
    <x v="0"/>
    <n v="0"/>
    <n v="0"/>
    <n v="0"/>
    <n v="7.03"/>
    <n v="50"/>
    <n v="50"/>
    <n v="9"/>
    <n v="8.4"/>
    <n v="100"/>
  </r>
  <r>
    <x v="38"/>
    <x v="1"/>
    <n v="0"/>
    <n v="0"/>
    <n v="0"/>
    <n v="7.03"/>
    <n v="50"/>
    <n v="50"/>
    <n v="2"/>
    <n v="3.625"/>
    <n v="0"/>
  </r>
  <r>
    <x v="38"/>
    <x v="2"/>
    <n v="0"/>
    <n v="0"/>
    <n v="0"/>
    <n v="7.03"/>
    <n v="50"/>
    <n v="50"/>
    <n v="2"/>
    <n v="11.11111111"/>
    <n v="0"/>
  </r>
  <r>
    <x v="38"/>
    <x v="3"/>
    <n v="100"/>
    <n v="0"/>
    <n v="0"/>
    <n v="7.03"/>
    <n v="50"/>
    <n v="50"/>
    <n v="3"/>
    <n v="5.6666666670000003"/>
    <n v="0"/>
  </r>
  <r>
    <x v="39"/>
    <x v="0"/>
    <n v="100"/>
    <n v="0"/>
    <n v="0"/>
    <n v="7.03"/>
    <n v="50"/>
    <n v="50"/>
    <n v="16"/>
    <n v="8.4"/>
    <n v="100"/>
  </r>
  <r>
    <x v="39"/>
    <x v="1"/>
    <n v="100"/>
    <n v="0"/>
    <n v="0"/>
    <n v="7.03"/>
    <n v="50"/>
    <n v="50"/>
    <n v="2"/>
    <n v="3.625"/>
    <n v="0"/>
  </r>
  <r>
    <x v="39"/>
    <x v="2"/>
    <n v="0"/>
    <n v="0"/>
    <n v="0"/>
    <n v="7.03"/>
    <n v="50"/>
    <n v="50"/>
    <n v="21"/>
    <n v="11.11111111"/>
    <n v="100"/>
  </r>
  <r>
    <x v="39"/>
    <x v="3"/>
    <n v="100"/>
    <n v="0"/>
    <n v="0"/>
    <n v="7.08"/>
    <n v="0"/>
    <n v="50"/>
    <n v="5"/>
    <n v="5.6666666670000003"/>
    <n v="0"/>
  </r>
  <r>
    <x v="40"/>
    <x v="0"/>
    <n v="100"/>
    <n v="0"/>
    <n v="0"/>
    <n v="7.03"/>
    <n v="50"/>
    <n v="50"/>
    <n v="29"/>
    <n v="8.4"/>
    <n v="100"/>
  </r>
  <r>
    <x v="40"/>
    <x v="1"/>
    <n v="100"/>
    <n v="0"/>
    <n v="0"/>
    <n v="7.03"/>
    <n v="50"/>
    <n v="50"/>
    <n v="0"/>
    <n v="3.625"/>
    <n v="0"/>
  </r>
  <r>
    <x v="40"/>
    <x v="2"/>
    <n v="100"/>
    <n v="0"/>
    <n v="0"/>
    <n v="7.03"/>
    <n v="50"/>
    <n v="50"/>
    <n v="12"/>
    <n v="11.11111111"/>
    <n v="100"/>
  </r>
  <r>
    <x v="40"/>
    <x v="3"/>
    <n v="100"/>
    <n v="0"/>
    <n v="0"/>
    <n v="7.09"/>
    <n v="0"/>
    <n v="50"/>
    <n v="4"/>
    <n v="5.6666666670000003"/>
    <n v="0"/>
  </r>
  <r>
    <x v="41"/>
    <x v="0"/>
    <n v="100"/>
    <n v="0"/>
    <n v="0"/>
    <n v="7.03"/>
    <n v="50"/>
    <n v="50"/>
    <n v="17"/>
    <n v="8.4"/>
    <n v="100"/>
  </r>
  <r>
    <x v="41"/>
    <x v="1"/>
    <n v="100"/>
    <n v="0"/>
    <n v="0"/>
    <n v="7.03"/>
    <n v="50"/>
    <n v="50"/>
    <n v="4"/>
    <n v="3.625"/>
    <n v="100"/>
  </r>
  <r>
    <x v="41"/>
    <x v="2"/>
    <n v="100"/>
    <n v="0"/>
    <n v="0"/>
    <n v="7.03"/>
    <n v="50"/>
    <n v="50"/>
    <n v="15"/>
    <n v="11.11111111"/>
    <n v="100"/>
  </r>
  <r>
    <x v="41"/>
    <x v="3"/>
    <n v="100"/>
    <n v="0"/>
    <n v="0"/>
    <n v="7.03"/>
    <n v="50"/>
    <n v="50"/>
    <n v="0"/>
    <n v="5.6666666670000003"/>
    <n v="0"/>
  </r>
  <r>
    <x v="42"/>
    <x v="0"/>
    <n v="0"/>
    <n v="0"/>
    <n v="0"/>
    <n v="7.03"/>
    <n v="50"/>
    <n v="50"/>
    <n v="6"/>
    <n v="8.4"/>
    <n v="0"/>
  </r>
  <r>
    <x v="42"/>
    <x v="1"/>
    <n v="100"/>
    <n v="0"/>
    <n v="0"/>
    <n v="7.03"/>
    <n v="50"/>
    <n v="50"/>
    <n v="2"/>
    <n v="3.625"/>
    <n v="0"/>
  </r>
  <r>
    <x v="42"/>
    <x v="2"/>
    <n v="100"/>
    <n v="0"/>
    <n v="0"/>
    <n v="7.03"/>
    <n v="50"/>
    <n v="50"/>
    <n v="10"/>
    <n v="11.11111111"/>
    <n v="0"/>
  </r>
  <r>
    <x v="42"/>
    <x v="3"/>
    <n v="100"/>
    <n v="0"/>
    <n v="0"/>
    <n v="7.03"/>
    <n v="50"/>
    <n v="50"/>
    <n v="0"/>
    <n v="5.6666666670000003"/>
    <n v="0"/>
  </r>
  <r>
    <x v="43"/>
    <x v="0"/>
    <n v="0"/>
    <n v="0"/>
    <n v="0"/>
    <n v="7.03"/>
    <n v="50"/>
    <n v="50"/>
    <n v="0"/>
    <n v="8.4"/>
    <n v="0"/>
  </r>
  <r>
    <x v="43"/>
    <x v="1"/>
    <n v="0"/>
    <n v="0"/>
    <n v="0"/>
    <n v="7.03"/>
    <n v="50"/>
    <n v="50"/>
    <n v="0"/>
    <n v="3.625"/>
    <n v="0"/>
  </r>
  <r>
    <x v="43"/>
    <x v="2"/>
    <n v="0"/>
    <n v="0"/>
    <n v="0"/>
    <n v="7.03"/>
    <n v="50"/>
    <n v="50"/>
    <n v="7"/>
    <n v="11.11111111"/>
    <n v="0"/>
  </r>
  <r>
    <x v="43"/>
    <x v="3"/>
    <n v="0"/>
    <n v="0"/>
    <n v="0"/>
    <n v="7.03"/>
    <n v="50"/>
    <n v="50"/>
    <n v="4"/>
    <n v="5.6666666670000003"/>
    <n v="0"/>
  </r>
  <r>
    <x v="44"/>
    <x v="0"/>
    <n v="100"/>
    <n v="0"/>
    <n v="0"/>
    <n v="7.03"/>
    <n v="50"/>
    <n v="50"/>
    <n v="20"/>
    <n v="8.4"/>
    <n v="100"/>
  </r>
  <r>
    <x v="44"/>
    <x v="1"/>
    <n v="0"/>
    <n v="0"/>
    <n v="0"/>
    <n v="7.03"/>
    <n v="50"/>
    <n v="50"/>
    <n v="1"/>
    <n v="3.625"/>
    <n v="0"/>
  </r>
  <r>
    <x v="44"/>
    <x v="2"/>
    <n v="0"/>
    <n v="0"/>
    <n v="0"/>
    <n v="7.03"/>
    <n v="50"/>
    <n v="50"/>
    <n v="2"/>
    <n v="11.11111111"/>
    <n v="0"/>
  </r>
  <r>
    <x v="44"/>
    <x v="3"/>
    <n v="0"/>
    <n v="0"/>
    <n v="0"/>
    <n v="7.03"/>
    <n v="50"/>
    <n v="50"/>
    <n v="4"/>
    <n v="5.666666667000000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432AE7-6CED-41B9-9A23-D8FA36EFE44C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DV">
  <location ref="B17:F22" firstHeaderRow="0" firstDataRow="1" firstDataCol="1" rowPageCount="1" colPageCount="1"/>
  <pivotFields count="11">
    <pivotField axis="axisPage" numFmtId="14" multipleItemSelectionAllowed="1" showAll="0">
      <items count="4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6"/>
        <item h="1" x="25"/>
        <item h="1" x="24"/>
        <item h="1" x="23"/>
        <item h="1" x="29"/>
        <item h="1" x="28"/>
        <item h="1" x="27"/>
        <item h="1" x="31"/>
        <item h="1" x="30"/>
        <item h="1" x="33"/>
        <item h="1" x="32"/>
        <item h="1" x="34"/>
        <item h="1" x="35"/>
        <item h="1" x="36"/>
        <item h="1" x="37"/>
        <item h="1" x="38"/>
        <item h="1" x="39"/>
        <item h="1" x="40"/>
        <item x="41"/>
        <item x="42"/>
        <item x="43"/>
        <item x="44"/>
        <item t="default"/>
      </items>
    </pivotField>
    <pivotField axis="axisRow" showAll="0">
      <items count="6">
        <item x="0"/>
        <item x="1"/>
        <item x="2"/>
        <item x="3"/>
        <item m="1" x="4"/>
        <item t="default"/>
      </items>
    </pivotField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PONTUAÇÃO META" fld="2" baseField="0" baseItem="0"/>
    <dataField name="PONTUAÇÃO ABERTURA DE LOJA" fld="6" baseField="0" baseItem="0"/>
    <dataField name="PONTUAÇÃO ORGANIZAÇÃO DE LOJA" fld="7" baseField="0" baseItem="0"/>
    <dataField name="PONTOS DOS CADASTROS" fld="10" baseField="0" baseItem="0"/>
  </dataFields>
  <formats count="58">
    <format dxfId="60">
      <pivotArea field="1" type="button" dataOnly="0" labelOnly="1" outline="0" axis="axisRow" fieldPosition="0"/>
    </format>
    <format dxfId="5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8">
      <pivotArea field="1" type="button" dataOnly="0" labelOnly="1" outline="0" axis="axisRow" fieldPosition="0"/>
    </format>
    <format dxfId="5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6">
      <pivotArea grandRow="1" outline="0" collapsedLevelsAreSubtotals="1" fieldPosition="0"/>
    </format>
    <format dxfId="55">
      <pivotArea dataOnly="0" labelOnly="1" grandRow="1" outline="0" fieldPosition="0"/>
    </format>
    <format dxfId="54">
      <pivotArea collapsedLevelsAreSubtotals="1" fieldPosition="0">
        <references count="1">
          <reference field="1" count="0"/>
        </references>
      </pivotArea>
    </format>
    <format dxfId="53">
      <pivotArea dataOnly="0" labelOnly="1" fieldPosition="0">
        <references count="1">
          <reference field="1" count="0"/>
        </references>
      </pivotArea>
    </format>
    <format dxfId="52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51">
      <pivotArea collapsedLevelsAreSubtotals="1" fieldPosition="0">
        <references count="2">
          <reference field="4294967294" count="1" selected="0">
            <x v="0"/>
          </reference>
          <reference field="1" count="1">
            <x v="3"/>
          </reference>
        </references>
      </pivotArea>
    </format>
    <format dxfId="50">
      <pivotArea collapsedLevelsAreSubtotals="1" fieldPosition="0">
        <references count="2">
          <reference field="4294967294" count="1" selected="0">
            <x v="1"/>
          </reference>
          <reference field="1" count="1">
            <x v="1"/>
          </reference>
        </references>
      </pivotArea>
    </format>
    <format dxfId="49">
      <pivotArea collapsedLevelsAreSubtotals="1" fieldPosition="0">
        <references count="2">
          <reference field="4294967294" count="1" selected="0">
            <x v="2"/>
          </reference>
          <reference field="1" count="1">
            <x v="2"/>
          </reference>
        </references>
      </pivotArea>
    </format>
    <format dxfId="48">
      <pivotArea collapsedLevelsAreSubtotals="1" fieldPosition="0">
        <references count="2">
          <reference field="4294967294" count="1" selected="0">
            <x v="0"/>
          </reference>
          <reference field="1" count="2">
            <x v="0"/>
            <x v="1"/>
          </reference>
        </references>
      </pivotArea>
    </format>
    <format dxfId="47">
      <pivotArea collapsedLevelsAreSubtotals="1" fieldPosition="0">
        <references count="2">
          <reference field="4294967294" count="1" selected="0">
            <x v="0"/>
          </reference>
          <reference field="1" count="2">
            <x v="0"/>
            <x v="1"/>
          </reference>
        </references>
      </pivotArea>
    </format>
    <format dxfId="46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45">
      <pivotArea collapsedLevelsAreSubtotals="1" fieldPosition="0">
        <references count="2">
          <reference field="4294967294" count="1" selected="0">
            <x v="2"/>
          </reference>
          <reference field="1" count="2">
            <x v="0"/>
            <x v="1"/>
          </reference>
        </references>
      </pivotArea>
    </format>
    <format dxfId="44">
      <pivotArea collapsedLevelsAreSubtotals="1" fieldPosition="0">
        <references count="2">
          <reference field="4294967294" count="1" selected="0">
            <x v="1"/>
          </reference>
          <reference field="1" count="1">
            <x v="2"/>
          </reference>
        </references>
      </pivotArea>
    </format>
    <format dxfId="43">
      <pivotArea collapsedLevelsAreSubtotals="1" fieldPosition="0">
        <references count="2">
          <reference field="4294967294" count="1" selected="0">
            <x v="1"/>
          </reference>
          <reference field="1" count="1">
            <x v="2"/>
          </reference>
        </references>
      </pivotArea>
    </format>
    <format dxfId="42">
      <pivotArea collapsedLevelsAreSubtotals="1" fieldPosition="0">
        <references count="2">
          <reference field="4294967294" count="1" selected="0">
            <x v="2"/>
          </reference>
          <reference field="1" count="1">
            <x v="0"/>
          </reference>
        </references>
      </pivotArea>
    </format>
    <format dxfId="41">
      <pivotArea collapsedLevelsAreSubtotals="1" fieldPosition="0">
        <references count="2">
          <reference field="4294967294" count="1" selected="0">
            <x v="2"/>
          </reference>
          <reference field="1" count="1">
            <x v="1"/>
          </reference>
        </references>
      </pivotArea>
    </format>
    <format dxfId="40">
      <pivotArea collapsedLevelsAreSubtotals="1" fieldPosition="0">
        <references count="2">
          <reference field="4294967294" count="1" selected="0">
            <x v="2"/>
          </reference>
          <reference field="1" count="1">
            <x v="1"/>
          </reference>
        </references>
      </pivotArea>
    </format>
    <format dxfId="39">
      <pivotArea collapsedLevelsAreSubtotals="1" fieldPosition="0">
        <references count="2">
          <reference field="4294967294" count="1" selected="0">
            <x v="2"/>
          </reference>
          <reference field="1" count="1">
            <x v="0"/>
          </reference>
        </references>
      </pivotArea>
    </format>
    <format dxfId="38">
      <pivotArea collapsedLevelsAreSubtotals="1" fieldPosition="0">
        <references count="2">
          <reference field="4294967294" count="1" selected="0">
            <x v="2"/>
          </reference>
          <reference field="1" count="2">
            <x v="0"/>
            <x v="1"/>
          </reference>
        </references>
      </pivotArea>
    </format>
    <format dxfId="37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36">
      <pivotArea collapsedLevelsAreSubtotals="1" fieldPosition="0">
        <references count="2">
          <reference field="4294967294" count="2" selected="0">
            <x v="1"/>
            <x v="2"/>
          </reference>
          <reference field="1" count="1">
            <x v="3"/>
          </reference>
        </references>
      </pivotArea>
    </format>
    <format dxfId="35">
      <pivotArea outline="0" collapsedLevelsAreSubtotals="1" fieldPosition="0"/>
    </format>
    <format dxfId="34">
      <pivotArea outline="0" collapsedLevelsAreSubtotals="1" fieldPosition="0"/>
    </format>
    <format dxfId="33">
      <pivotArea outline="0" collapsedLevelsAreSubtotals="1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grandRow="1" outline="0" fieldPosition="0"/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1"/>
          </reference>
          <reference field="1" count="1">
            <x v="1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0"/>
          </reference>
          <reference field="1" count="1">
            <x v="3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1"/>
          </reference>
          <reference field="1" count="1">
            <x v="3"/>
          </reference>
        </references>
      </pivotArea>
    </format>
    <format dxfId="21">
      <pivotArea collapsedLevelsAreSubtotals="1" fieldPosition="0">
        <references count="1">
          <reference field="1" count="0"/>
        </references>
      </pivotArea>
    </format>
    <format dxfId="20">
      <pivotArea collapsedLevelsAreSubtotals="1" fieldPosition="0">
        <references count="2">
          <reference field="4294967294" count="1" selected="0">
            <x v="1"/>
          </reference>
          <reference field="1" count="3">
            <x v="0"/>
            <x v="1"/>
            <x v="2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1"/>
          </reference>
          <reference field="1" count="1">
            <x v="1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3"/>
          </reference>
          <reference field="1" count="0"/>
        </references>
      </pivotArea>
    </format>
    <format dxfId="1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3"/>
          </reference>
          <reference field="1" count="2">
            <x v="0"/>
            <x v="1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3"/>
          </reference>
          <reference field="1" count="1">
            <x v="1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3"/>
          </reference>
          <reference field="1" count="1">
            <x v="0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3"/>
          </reference>
          <reference field="1" count="2">
            <x v="2"/>
            <x v="3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3"/>
          </reference>
          <reference field="1" count="1">
            <x v="3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1"/>
          </reference>
          <reference field="1" count="1">
            <x v="3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3"/>
          </reference>
          <reference field="1" count="3">
            <x v="0"/>
            <x v="1"/>
            <x v="2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0"/>
          </reference>
          <reference field="1" count="3">
            <x v="1"/>
            <x v="2"/>
            <x v="3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1"/>
          </reference>
          <reference field="1" count="3">
            <x v="1"/>
            <x v="2"/>
            <x v="3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2"/>
          </reference>
          <reference field="1" count="0"/>
        </references>
      </pivotArea>
    </format>
    <format dxfId="4">
      <pivotArea collapsedLevelsAreSubtotals="1" fieldPosition="0">
        <references count="2">
          <reference field="4294967294" count="1" selected="0">
            <x v="3"/>
          </reference>
          <reference field="1" count="1">
            <x v="1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3"/>
          </reference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8C2115-F9C6-4B94-A176-AF01A30EB3BB}" name="Tabela1" displayName="Tabela1" ref="A1:K205" totalsRowShown="0">
  <autoFilter ref="A1:K205" xr:uid="{2C8C2115-F9C6-4B94-A176-AF01A30EB3BB}"/>
  <sortState xmlns:xlrd2="http://schemas.microsoft.com/office/spreadsheetml/2017/richdata2" ref="A2:K137">
    <sortCondition ref="A1:A137"/>
  </sortState>
  <tableColumns count="11">
    <tableColumn id="1" xr3:uid="{08343871-7525-4F64-ABBF-340618FF9833}" name="DATA" dataDxfId="2"/>
    <tableColumn id="2" xr3:uid="{9FAF6220-6872-4D52-AB74-F630B835465D}" name="PDV"/>
    <tableColumn id="3" xr3:uid="{D5542203-958F-444B-BFDF-DCBB1F6759DD}" name="PONTOS FATURAMENTO"/>
    <tableColumn id="4" xr3:uid="{881A02DF-3EB8-4D47-A89F-72576C501C20}" name="TICKET MÉDIO"/>
    <tableColumn id="5" xr3:uid="{16F47561-F21F-419B-9055-54334DBDB535}" name="PONTOS TICKET"/>
    <tableColumn id="6" xr3:uid="{876240F2-C4CC-4ED0-80B3-163092886B4D}" name="HORARIO ABERTURA" dataDxfId="1"/>
    <tableColumn id="7" xr3:uid="{E56A30B1-3F5A-4AFE-9791-F04BFE832B03}" name="PONTOS ABERTURA" dataDxfId="0">
      <calculatedColumnFormula>IF(F2&lt;7.0501,50,0)</calculatedColumnFormula>
    </tableColumn>
    <tableColumn id="8" xr3:uid="{8D4C36DB-B436-4B5B-8562-9473393B8C79}" name="PONTOS ORGANIZAÇÃO"/>
    <tableColumn id="10" xr3:uid="{98142B05-D68A-4321-90E5-4A0A60B60FFA}" name="QUANT CADASTROS"/>
    <tableColumn id="11" xr3:uid="{DA1ECF2D-E904-43A7-9BEE-5865C91AB22A}" name="META CADASTRO"/>
    <tableColumn id="9" xr3:uid="{873C7011-BFA0-4BD1-95B4-C2B465563E33}" name="PONTOS CADASTRO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C085F-449B-46E3-9A96-EF05ADABDC69}">
  <dimension ref="B3:J22"/>
  <sheetViews>
    <sheetView showGridLines="0" topLeftCell="A16" zoomScale="85" zoomScaleNormal="85" workbookViewId="0">
      <selection activeCell="L32" sqref="L32"/>
    </sheetView>
  </sheetViews>
  <sheetFormatPr defaultRowHeight="15"/>
  <cols>
    <col min="1" max="1" width="5.28515625" customWidth="1"/>
    <col min="2" max="2" width="13.85546875" customWidth="1"/>
    <col min="3" max="3" width="23.85546875" bestFit="1" customWidth="1"/>
    <col min="4" max="4" width="40" bestFit="1" customWidth="1"/>
    <col min="5" max="5" width="45" bestFit="1" customWidth="1"/>
    <col min="6" max="7" width="31.7109375" bestFit="1" customWidth="1"/>
    <col min="8" max="8" width="6.7109375" customWidth="1"/>
    <col min="9" max="9" width="2.7109375" customWidth="1"/>
  </cols>
  <sheetData>
    <row r="3" spans="2:10" ht="20.25">
      <c r="I3" s="24"/>
      <c r="J3" s="24"/>
    </row>
    <row r="4" spans="2:10" ht="15" customHeight="1">
      <c r="I4" s="15"/>
      <c r="J4" s="16"/>
    </row>
    <row r="5" spans="2:10" ht="15" customHeight="1"/>
    <row r="6" spans="2:10" ht="15" customHeight="1"/>
    <row r="7" spans="2:10" ht="15" customHeight="1"/>
    <row r="13" spans="2:10" ht="8.25" hidden="1" customHeight="1"/>
    <row r="15" spans="2:10" ht="18.75" hidden="1">
      <c r="B15" s="6" t="s">
        <v>2</v>
      </c>
      <c r="C15" s="7" t="s">
        <v>19</v>
      </c>
    </row>
    <row r="16" spans="2:10" ht="18.75">
      <c r="B16" s="25" t="s">
        <v>17</v>
      </c>
      <c r="C16" s="25"/>
      <c r="D16" s="25"/>
      <c r="E16" s="25"/>
      <c r="F16" s="25"/>
      <c r="G16" s="25"/>
    </row>
    <row r="17" spans="2:7" ht="18.75">
      <c r="B17" s="3" t="s">
        <v>1</v>
      </c>
      <c r="C17" s="3" t="s">
        <v>14</v>
      </c>
      <c r="D17" s="3" t="s">
        <v>15</v>
      </c>
      <c r="E17" s="3" t="s">
        <v>16</v>
      </c>
      <c r="F17" s="12" t="s">
        <v>26</v>
      </c>
      <c r="G17" s="14" t="s">
        <v>18</v>
      </c>
    </row>
    <row r="18" spans="2:7" ht="18.75">
      <c r="B18" s="4" t="s">
        <v>3</v>
      </c>
      <c r="C18" s="21">
        <v>200</v>
      </c>
      <c r="D18" s="21">
        <v>200</v>
      </c>
      <c r="E18" s="21">
        <v>200</v>
      </c>
      <c r="F18" s="11">
        <v>200</v>
      </c>
      <c r="G18" s="11">
        <f>SUM(C18:F18)</f>
        <v>800</v>
      </c>
    </row>
    <row r="19" spans="2:7" ht="18.75">
      <c r="B19" s="4" t="s">
        <v>4</v>
      </c>
      <c r="C19" s="21">
        <v>200</v>
      </c>
      <c r="D19" s="21">
        <v>200</v>
      </c>
      <c r="E19" s="21">
        <v>200</v>
      </c>
      <c r="F19" s="23">
        <v>100</v>
      </c>
      <c r="G19" s="17">
        <f>SUM(C19:F19)</f>
        <v>700</v>
      </c>
    </row>
    <row r="20" spans="2:7" ht="18.75">
      <c r="B20" s="4" t="s">
        <v>6</v>
      </c>
      <c r="C20" s="21">
        <v>200</v>
      </c>
      <c r="D20" s="21">
        <v>200</v>
      </c>
      <c r="E20" s="21">
        <v>200</v>
      </c>
      <c r="F20" s="23">
        <v>100</v>
      </c>
      <c r="G20" s="17">
        <f>SUM(C20:F20)</f>
        <v>700</v>
      </c>
    </row>
    <row r="21" spans="2:7" ht="18.75">
      <c r="B21" s="4" t="s">
        <v>5</v>
      </c>
      <c r="C21" s="21">
        <v>200</v>
      </c>
      <c r="D21" s="21">
        <v>200</v>
      </c>
      <c r="E21" s="21">
        <v>200</v>
      </c>
      <c r="F21" s="22">
        <v>0</v>
      </c>
      <c r="G21" s="22">
        <f>SUM(C21:F21)</f>
        <v>600</v>
      </c>
    </row>
    <row r="22" spans="2:7" ht="18.75">
      <c r="B22" s="19" t="s">
        <v>13</v>
      </c>
      <c r="C22" s="20">
        <v>800</v>
      </c>
      <c r="D22" s="20">
        <v>800</v>
      </c>
      <c r="E22" s="20">
        <v>800</v>
      </c>
      <c r="F22" s="20">
        <v>400</v>
      </c>
      <c r="G22" s="13">
        <f ca="1">SUM(C22:G22)</f>
        <v>2400</v>
      </c>
    </row>
  </sheetData>
  <mergeCells count="2">
    <mergeCell ref="I3:J3"/>
    <mergeCell ref="B16:G16"/>
  </mergeCells>
  <dataValidations count="1">
    <dataValidation type="list" allowBlank="1" showInputMessage="1" showErrorMessage="1" sqref="I4:J4" xr:uid="{6061F935-B9F4-4481-9D6D-6091899C6FB5}">
      <formula1>$B$18:$B$21</formula1>
    </dataValidation>
  </dataValidation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5"/>
  <sheetViews>
    <sheetView tabSelected="1" topLeftCell="A175" workbookViewId="0">
      <selection activeCell="A204" sqref="A204"/>
    </sheetView>
  </sheetViews>
  <sheetFormatPr defaultRowHeight="15"/>
  <cols>
    <col min="1" max="1" width="10.7109375" bestFit="1" customWidth="1"/>
    <col min="2" max="2" width="10.140625" bestFit="1" customWidth="1"/>
    <col min="3" max="3" width="24.5703125" customWidth="1"/>
    <col min="4" max="4" width="15.42578125" customWidth="1"/>
    <col min="5" max="5" width="16.85546875" customWidth="1"/>
    <col min="6" max="6" width="21.140625" customWidth="1"/>
    <col min="7" max="7" width="20.28515625" customWidth="1"/>
    <col min="8" max="11" width="24.28515625" customWidth="1"/>
    <col min="13" max="13" width="13.140625" bestFit="1" customWidth="1"/>
  </cols>
  <sheetData>
    <row r="1" spans="1:14">
      <c r="A1" t="s">
        <v>2</v>
      </c>
      <c r="B1" t="s">
        <v>1</v>
      </c>
      <c r="C1" t="s">
        <v>0</v>
      </c>
      <c r="D1" t="s">
        <v>7</v>
      </c>
      <c r="E1" t="s">
        <v>8</v>
      </c>
      <c r="F1" t="s">
        <v>9</v>
      </c>
      <c r="G1" t="s">
        <v>10</v>
      </c>
      <c r="H1" t="s">
        <v>12</v>
      </c>
      <c r="I1" t="s">
        <v>27</v>
      </c>
      <c r="J1" t="s">
        <v>28</v>
      </c>
      <c r="K1" s="10" t="s">
        <v>25</v>
      </c>
      <c r="M1" s="26" t="s">
        <v>20</v>
      </c>
      <c r="N1" s="26"/>
    </row>
    <row r="2" spans="1:14">
      <c r="A2" s="1">
        <v>45887</v>
      </c>
      <c r="B2" t="s">
        <v>3</v>
      </c>
      <c r="C2">
        <v>0</v>
      </c>
      <c r="D2">
        <v>18.18</v>
      </c>
      <c r="E2">
        <v>0</v>
      </c>
      <c r="F2" s="2">
        <v>7.02</v>
      </c>
      <c r="G2">
        <f t="shared" ref="G2:G33" si="0">IF(F2&lt;7.0501,50,0)</f>
        <v>50</v>
      </c>
      <c r="H2">
        <v>50</v>
      </c>
      <c r="M2" s="8" t="s">
        <v>21</v>
      </c>
      <c r="N2" s="9">
        <v>8.4</v>
      </c>
    </row>
    <row r="3" spans="1:14">
      <c r="A3" s="1">
        <v>45887</v>
      </c>
      <c r="B3" t="s">
        <v>4</v>
      </c>
      <c r="C3">
        <v>150</v>
      </c>
      <c r="D3" s="5">
        <v>24.93</v>
      </c>
      <c r="E3">
        <v>0</v>
      </c>
      <c r="F3" s="2">
        <v>7.01</v>
      </c>
      <c r="G3">
        <f t="shared" si="0"/>
        <v>50</v>
      </c>
      <c r="H3">
        <v>50</v>
      </c>
      <c r="M3" s="8" t="s">
        <v>22</v>
      </c>
      <c r="N3" s="9">
        <v>3.625</v>
      </c>
    </row>
    <row r="4" spans="1:14">
      <c r="A4" s="1">
        <v>45887</v>
      </c>
      <c r="B4" t="s">
        <v>6</v>
      </c>
      <c r="C4">
        <v>0</v>
      </c>
      <c r="D4" s="5">
        <v>26.11</v>
      </c>
      <c r="E4">
        <v>100</v>
      </c>
      <c r="F4" s="2">
        <v>7.03</v>
      </c>
      <c r="G4">
        <f t="shared" si="0"/>
        <v>50</v>
      </c>
      <c r="H4">
        <v>50</v>
      </c>
      <c r="M4" s="8" t="s">
        <v>23</v>
      </c>
      <c r="N4" s="9">
        <v>11.11111111</v>
      </c>
    </row>
    <row r="5" spans="1:14">
      <c r="A5" s="1">
        <v>45887</v>
      </c>
      <c r="B5" t="s">
        <v>5</v>
      </c>
      <c r="C5">
        <v>150</v>
      </c>
      <c r="D5" s="5">
        <v>20.05</v>
      </c>
      <c r="E5">
        <v>0</v>
      </c>
      <c r="F5" s="2" t="s">
        <v>11</v>
      </c>
      <c r="G5">
        <f t="shared" si="0"/>
        <v>0</v>
      </c>
      <c r="H5">
        <v>50</v>
      </c>
      <c r="M5" s="8" t="s">
        <v>24</v>
      </c>
      <c r="N5" s="9">
        <v>5.6666666670000003</v>
      </c>
    </row>
    <row r="6" spans="1:14">
      <c r="A6" s="1">
        <v>45888</v>
      </c>
      <c r="B6" t="s">
        <v>3</v>
      </c>
      <c r="C6">
        <v>0</v>
      </c>
      <c r="D6">
        <v>20.29</v>
      </c>
      <c r="E6">
        <v>0</v>
      </c>
      <c r="F6" s="5">
        <v>6.59</v>
      </c>
      <c r="G6">
        <f t="shared" si="0"/>
        <v>50</v>
      </c>
      <c r="H6">
        <v>50</v>
      </c>
    </row>
    <row r="7" spans="1:14">
      <c r="A7" s="1">
        <v>45888</v>
      </c>
      <c r="B7" t="s">
        <v>4</v>
      </c>
      <c r="C7">
        <v>0</v>
      </c>
      <c r="D7" s="5">
        <v>61.3</v>
      </c>
      <c r="E7">
        <v>100</v>
      </c>
      <c r="F7" s="2" t="s">
        <v>11</v>
      </c>
      <c r="G7">
        <f t="shared" si="0"/>
        <v>0</v>
      </c>
      <c r="H7">
        <v>50</v>
      </c>
    </row>
    <row r="8" spans="1:14">
      <c r="A8" s="1">
        <v>45888</v>
      </c>
      <c r="B8" t="s">
        <v>6</v>
      </c>
      <c r="C8">
        <v>0</v>
      </c>
      <c r="D8" s="5">
        <v>23.96</v>
      </c>
      <c r="E8">
        <v>0</v>
      </c>
      <c r="F8" s="5">
        <v>7.02</v>
      </c>
      <c r="G8">
        <f t="shared" si="0"/>
        <v>50</v>
      </c>
      <c r="H8">
        <v>50</v>
      </c>
    </row>
    <row r="9" spans="1:14">
      <c r="A9" s="1">
        <v>45888</v>
      </c>
      <c r="B9" t="s">
        <v>5</v>
      </c>
      <c r="C9">
        <v>0</v>
      </c>
      <c r="D9" s="5">
        <v>34.729999999999997</v>
      </c>
      <c r="E9">
        <v>0</v>
      </c>
      <c r="F9" s="5">
        <v>7.14</v>
      </c>
      <c r="G9">
        <f t="shared" si="0"/>
        <v>0</v>
      </c>
      <c r="H9">
        <v>50</v>
      </c>
    </row>
    <row r="10" spans="1:14">
      <c r="A10" s="1">
        <v>45889</v>
      </c>
      <c r="B10" t="s">
        <v>3</v>
      </c>
      <c r="C10">
        <v>0</v>
      </c>
      <c r="D10" s="5">
        <v>22.12</v>
      </c>
      <c r="E10">
        <v>0</v>
      </c>
      <c r="F10" s="5">
        <v>7.03</v>
      </c>
      <c r="G10">
        <f t="shared" si="0"/>
        <v>50</v>
      </c>
      <c r="H10">
        <v>50</v>
      </c>
    </row>
    <row r="11" spans="1:14">
      <c r="A11" s="1">
        <v>45889</v>
      </c>
      <c r="B11" t="s">
        <v>4</v>
      </c>
      <c r="C11">
        <v>150</v>
      </c>
      <c r="D11" s="5">
        <v>29.81</v>
      </c>
      <c r="E11">
        <v>0</v>
      </c>
      <c r="F11" s="5">
        <v>6.57</v>
      </c>
      <c r="G11">
        <f t="shared" si="0"/>
        <v>50</v>
      </c>
      <c r="H11">
        <v>50</v>
      </c>
    </row>
    <row r="12" spans="1:14">
      <c r="A12" s="1">
        <v>45889</v>
      </c>
      <c r="B12" t="s">
        <v>6</v>
      </c>
      <c r="C12">
        <v>0</v>
      </c>
      <c r="D12" s="5">
        <v>24.69</v>
      </c>
      <c r="E12">
        <v>0</v>
      </c>
      <c r="F12" s="5">
        <v>6.58</v>
      </c>
      <c r="G12">
        <f t="shared" si="0"/>
        <v>50</v>
      </c>
      <c r="H12">
        <v>50</v>
      </c>
    </row>
    <row r="13" spans="1:14">
      <c r="A13" s="1">
        <v>45889</v>
      </c>
      <c r="B13" t="s">
        <v>5</v>
      </c>
      <c r="C13">
        <v>0</v>
      </c>
      <c r="D13" s="5">
        <v>35.25</v>
      </c>
      <c r="E13">
        <v>100</v>
      </c>
      <c r="F13" s="5">
        <v>7.01</v>
      </c>
      <c r="G13">
        <f t="shared" si="0"/>
        <v>50</v>
      </c>
      <c r="H13">
        <v>50</v>
      </c>
    </row>
    <row r="14" spans="1:14">
      <c r="A14" s="1">
        <v>45890</v>
      </c>
      <c r="B14" t="s">
        <v>3</v>
      </c>
      <c r="C14">
        <v>0</v>
      </c>
      <c r="D14" s="5">
        <v>28.224489795918366</v>
      </c>
      <c r="E14">
        <v>0</v>
      </c>
      <c r="F14" s="5">
        <v>7.07</v>
      </c>
      <c r="G14">
        <f t="shared" si="0"/>
        <v>0</v>
      </c>
      <c r="H14">
        <v>50</v>
      </c>
    </row>
    <row r="15" spans="1:14">
      <c r="A15" s="1">
        <v>45890</v>
      </c>
      <c r="B15" t="s">
        <v>4</v>
      </c>
      <c r="C15">
        <v>0</v>
      </c>
      <c r="D15" s="5">
        <v>25.412105263157894</v>
      </c>
      <c r="E15">
        <v>0</v>
      </c>
      <c r="F15" s="5">
        <v>6.51</v>
      </c>
      <c r="G15">
        <f t="shared" si="0"/>
        <v>50</v>
      </c>
      <c r="H15">
        <v>50</v>
      </c>
    </row>
    <row r="16" spans="1:14">
      <c r="A16" s="1">
        <v>45890</v>
      </c>
      <c r="B16" t="s">
        <v>6</v>
      </c>
      <c r="C16">
        <v>0</v>
      </c>
      <c r="D16" s="5">
        <v>36.125</v>
      </c>
      <c r="E16">
        <v>0</v>
      </c>
      <c r="F16" s="2" t="s">
        <v>11</v>
      </c>
      <c r="G16">
        <f t="shared" si="0"/>
        <v>0</v>
      </c>
      <c r="H16">
        <v>50</v>
      </c>
    </row>
    <row r="17" spans="1:8">
      <c r="A17" s="1">
        <v>45890</v>
      </c>
      <c r="B17" t="s">
        <v>5</v>
      </c>
      <c r="C17">
        <v>0</v>
      </c>
      <c r="D17" s="5">
        <v>57.479444444444454</v>
      </c>
      <c r="E17">
        <v>100</v>
      </c>
      <c r="F17" s="5">
        <v>7.04</v>
      </c>
      <c r="G17">
        <f t="shared" si="0"/>
        <v>50</v>
      </c>
      <c r="H17">
        <v>50</v>
      </c>
    </row>
    <row r="18" spans="1:8">
      <c r="A18" s="1">
        <v>45891</v>
      </c>
      <c r="B18" t="s">
        <v>3</v>
      </c>
      <c r="C18">
        <v>0</v>
      </c>
      <c r="D18" s="5">
        <v>29.914893617021278</v>
      </c>
      <c r="E18">
        <v>0</v>
      </c>
      <c r="F18" s="5">
        <v>7.13</v>
      </c>
      <c r="G18">
        <f t="shared" si="0"/>
        <v>0</v>
      </c>
      <c r="H18">
        <v>50</v>
      </c>
    </row>
    <row r="19" spans="1:8">
      <c r="A19" s="1">
        <v>45891</v>
      </c>
      <c r="B19" t="s">
        <v>4</v>
      </c>
      <c r="C19">
        <v>150</v>
      </c>
      <c r="D19" s="5">
        <v>27.343939393939394</v>
      </c>
      <c r="E19">
        <v>0</v>
      </c>
      <c r="F19" s="5">
        <v>6.52</v>
      </c>
      <c r="G19">
        <f t="shared" si="0"/>
        <v>50</v>
      </c>
      <c r="H19">
        <v>50</v>
      </c>
    </row>
    <row r="20" spans="1:8">
      <c r="A20" s="1">
        <v>45891</v>
      </c>
      <c r="B20" t="s">
        <v>6</v>
      </c>
      <c r="C20">
        <v>150</v>
      </c>
      <c r="D20" s="5">
        <v>33.139347826086961</v>
      </c>
      <c r="E20">
        <v>100</v>
      </c>
      <c r="F20" s="5">
        <v>7.02</v>
      </c>
      <c r="G20">
        <f t="shared" si="0"/>
        <v>50</v>
      </c>
      <c r="H20">
        <v>50</v>
      </c>
    </row>
    <row r="21" spans="1:8">
      <c r="A21" s="1">
        <v>45891</v>
      </c>
      <c r="B21" t="s">
        <v>5</v>
      </c>
      <c r="C21">
        <v>150</v>
      </c>
      <c r="D21" s="5">
        <v>32.857818181818182</v>
      </c>
      <c r="E21">
        <v>0</v>
      </c>
      <c r="F21" s="5">
        <v>7.05</v>
      </c>
      <c r="G21">
        <f t="shared" si="0"/>
        <v>50</v>
      </c>
      <c r="H21">
        <v>50</v>
      </c>
    </row>
    <row r="22" spans="1:8">
      <c r="A22" s="1">
        <v>45892</v>
      </c>
      <c r="B22" t="s">
        <v>3</v>
      </c>
      <c r="C22">
        <v>0</v>
      </c>
      <c r="D22" s="5">
        <v>33.021276595744681</v>
      </c>
      <c r="E22">
        <v>100</v>
      </c>
      <c r="F22" s="5">
        <v>7</v>
      </c>
      <c r="G22">
        <f t="shared" si="0"/>
        <v>50</v>
      </c>
      <c r="H22">
        <v>50</v>
      </c>
    </row>
    <row r="23" spans="1:8">
      <c r="A23" s="1">
        <v>45892</v>
      </c>
      <c r="B23" t="s">
        <v>4</v>
      </c>
      <c r="C23">
        <v>0</v>
      </c>
      <c r="D23" s="5">
        <v>25.957407407407409</v>
      </c>
      <c r="E23">
        <v>0</v>
      </c>
      <c r="F23" s="5">
        <v>6.56</v>
      </c>
      <c r="G23">
        <f t="shared" si="0"/>
        <v>50</v>
      </c>
      <c r="H23">
        <v>50</v>
      </c>
    </row>
    <row r="24" spans="1:8">
      <c r="A24" s="1">
        <v>45892</v>
      </c>
      <c r="B24" t="s">
        <v>6</v>
      </c>
      <c r="C24">
        <v>0</v>
      </c>
      <c r="D24" s="5">
        <v>27.615106382978727</v>
      </c>
      <c r="E24">
        <v>0</v>
      </c>
      <c r="F24" s="5">
        <v>6.59</v>
      </c>
      <c r="G24">
        <f t="shared" si="0"/>
        <v>50</v>
      </c>
      <c r="H24">
        <v>50</v>
      </c>
    </row>
    <row r="25" spans="1:8">
      <c r="A25" s="1">
        <v>45892</v>
      </c>
      <c r="B25" t="s">
        <v>5</v>
      </c>
      <c r="C25">
        <v>0</v>
      </c>
      <c r="D25" s="5">
        <v>26.801063829787235</v>
      </c>
      <c r="E25">
        <v>0</v>
      </c>
      <c r="F25" s="5">
        <v>7.03</v>
      </c>
      <c r="G25">
        <f t="shared" si="0"/>
        <v>50</v>
      </c>
      <c r="H25">
        <v>50</v>
      </c>
    </row>
    <row r="26" spans="1:8">
      <c r="A26" s="1">
        <v>45893</v>
      </c>
      <c r="B26" t="s">
        <v>3</v>
      </c>
      <c r="C26">
        <v>0</v>
      </c>
      <c r="D26">
        <v>16.8</v>
      </c>
      <c r="E26">
        <v>0</v>
      </c>
      <c r="F26" s="5">
        <v>7.01</v>
      </c>
      <c r="G26">
        <f t="shared" si="0"/>
        <v>50</v>
      </c>
      <c r="H26">
        <v>50</v>
      </c>
    </row>
    <row r="27" spans="1:8">
      <c r="A27" s="1">
        <v>45893</v>
      </c>
      <c r="B27" t="s">
        <v>4</v>
      </c>
      <c r="C27">
        <v>150</v>
      </c>
      <c r="D27" s="5">
        <v>19.510000000000002</v>
      </c>
      <c r="E27">
        <v>0</v>
      </c>
      <c r="F27" s="5">
        <v>6.54</v>
      </c>
      <c r="G27">
        <f t="shared" si="0"/>
        <v>50</v>
      </c>
      <c r="H27">
        <v>50</v>
      </c>
    </row>
    <row r="28" spans="1:8">
      <c r="A28" s="1">
        <v>45893</v>
      </c>
      <c r="B28" t="s">
        <v>6</v>
      </c>
      <c r="C28">
        <v>150</v>
      </c>
      <c r="D28" s="5">
        <v>18.260000000000002</v>
      </c>
      <c r="E28">
        <v>0</v>
      </c>
      <c r="F28" s="5">
        <v>6.56</v>
      </c>
      <c r="G28">
        <f t="shared" si="0"/>
        <v>50</v>
      </c>
      <c r="H28">
        <v>50</v>
      </c>
    </row>
    <row r="29" spans="1:8">
      <c r="A29" s="1">
        <v>45893</v>
      </c>
      <c r="B29" t="s">
        <v>5</v>
      </c>
      <c r="C29">
        <v>150</v>
      </c>
      <c r="D29" s="5">
        <v>65.94</v>
      </c>
      <c r="E29">
        <v>100</v>
      </c>
      <c r="F29" s="2">
        <v>6.56</v>
      </c>
      <c r="G29">
        <f t="shared" si="0"/>
        <v>50</v>
      </c>
      <c r="H29">
        <v>50</v>
      </c>
    </row>
    <row r="30" spans="1:8">
      <c r="A30" s="1">
        <v>45894</v>
      </c>
      <c r="B30" t="s">
        <v>3</v>
      </c>
      <c r="C30">
        <v>150</v>
      </c>
      <c r="D30">
        <v>16.59</v>
      </c>
      <c r="E30">
        <v>0</v>
      </c>
      <c r="F30" s="5">
        <v>7.03</v>
      </c>
      <c r="G30">
        <f t="shared" si="0"/>
        <v>50</v>
      </c>
      <c r="H30">
        <v>50</v>
      </c>
    </row>
    <row r="31" spans="1:8">
      <c r="A31" s="1">
        <v>45894</v>
      </c>
      <c r="B31" t="s">
        <v>4</v>
      </c>
      <c r="C31">
        <v>0</v>
      </c>
      <c r="D31" s="5">
        <v>14.5</v>
      </c>
      <c r="E31">
        <v>0</v>
      </c>
      <c r="F31" s="5">
        <v>7.03</v>
      </c>
      <c r="G31">
        <f t="shared" si="0"/>
        <v>50</v>
      </c>
      <c r="H31">
        <v>50</v>
      </c>
    </row>
    <row r="32" spans="1:8">
      <c r="A32" s="1">
        <v>45894</v>
      </c>
      <c r="B32" t="s">
        <v>6</v>
      </c>
      <c r="C32">
        <v>150</v>
      </c>
      <c r="D32" s="5">
        <v>18.07</v>
      </c>
      <c r="E32">
        <v>0</v>
      </c>
      <c r="F32" s="5">
        <v>7.01</v>
      </c>
      <c r="G32">
        <f t="shared" si="0"/>
        <v>50</v>
      </c>
      <c r="H32">
        <v>50</v>
      </c>
    </row>
    <row r="33" spans="1:8">
      <c r="A33" s="1">
        <v>45894</v>
      </c>
      <c r="B33" t="s">
        <v>5</v>
      </c>
      <c r="C33">
        <v>150</v>
      </c>
      <c r="D33" s="5">
        <v>49.04</v>
      </c>
      <c r="E33">
        <v>100</v>
      </c>
      <c r="F33" s="5">
        <v>7.03</v>
      </c>
      <c r="G33">
        <f t="shared" si="0"/>
        <v>50</v>
      </c>
      <c r="H33">
        <v>50</v>
      </c>
    </row>
    <row r="34" spans="1:8">
      <c r="A34" s="1">
        <v>45895</v>
      </c>
      <c r="B34" t="s">
        <v>3</v>
      </c>
      <c r="C34">
        <v>150</v>
      </c>
      <c r="D34" s="5">
        <v>15.418965517241382</v>
      </c>
      <c r="E34">
        <v>0</v>
      </c>
      <c r="F34" s="5">
        <v>7.03</v>
      </c>
      <c r="G34">
        <f t="shared" ref="G34:G65" si="1">IF(F34&lt;7.0501,50,0)</f>
        <v>50</v>
      </c>
      <c r="H34">
        <v>50</v>
      </c>
    </row>
    <row r="35" spans="1:8">
      <c r="A35" s="1">
        <v>45895</v>
      </c>
      <c r="B35" t="s">
        <v>4</v>
      </c>
      <c r="C35">
        <v>150</v>
      </c>
      <c r="D35" s="5">
        <v>16.532894736842106</v>
      </c>
      <c r="E35">
        <v>0</v>
      </c>
      <c r="F35" s="5">
        <v>7.03</v>
      </c>
      <c r="G35">
        <f t="shared" si="1"/>
        <v>50</v>
      </c>
      <c r="H35">
        <v>50</v>
      </c>
    </row>
    <row r="36" spans="1:8">
      <c r="A36" s="1">
        <v>45895</v>
      </c>
      <c r="B36" t="s">
        <v>6</v>
      </c>
      <c r="C36">
        <v>0</v>
      </c>
      <c r="D36" s="5">
        <v>15.58188679245284</v>
      </c>
      <c r="E36">
        <v>0</v>
      </c>
      <c r="F36" s="5">
        <v>7.03</v>
      </c>
      <c r="G36">
        <f t="shared" si="1"/>
        <v>50</v>
      </c>
      <c r="H36">
        <v>50</v>
      </c>
    </row>
    <row r="37" spans="1:8">
      <c r="A37" s="1">
        <v>45895</v>
      </c>
      <c r="B37" t="s">
        <v>5</v>
      </c>
      <c r="C37">
        <v>150</v>
      </c>
      <c r="D37" s="5">
        <v>24.206181818181825</v>
      </c>
      <c r="E37">
        <v>100</v>
      </c>
      <c r="F37" s="5">
        <v>7.03</v>
      </c>
      <c r="G37">
        <f t="shared" si="1"/>
        <v>50</v>
      </c>
      <c r="H37">
        <v>50</v>
      </c>
    </row>
    <row r="38" spans="1:8">
      <c r="A38" s="1">
        <v>45896</v>
      </c>
      <c r="B38" t="s">
        <v>3</v>
      </c>
      <c r="C38">
        <v>0</v>
      </c>
      <c r="D38" s="5">
        <v>16.06371428571429</v>
      </c>
      <c r="E38">
        <v>0</v>
      </c>
      <c r="F38" s="5">
        <v>7.03</v>
      </c>
      <c r="G38">
        <f t="shared" si="1"/>
        <v>50</v>
      </c>
      <c r="H38">
        <v>50</v>
      </c>
    </row>
    <row r="39" spans="1:8">
      <c r="A39" s="1">
        <v>45896</v>
      </c>
      <c r="B39" t="s">
        <v>4</v>
      </c>
      <c r="C39">
        <v>0</v>
      </c>
      <c r="D39" s="5">
        <v>15.965882352941181</v>
      </c>
      <c r="E39">
        <v>0</v>
      </c>
      <c r="F39" s="5">
        <v>7.11</v>
      </c>
      <c r="G39">
        <f t="shared" si="1"/>
        <v>0</v>
      </c>
      <c r="H39">
        <v>50</v>
      </c>
    </row>
    <row r="40" spans="1:8">
      <c r="A40" s="1">
        <v>45896</v>
      </c>
      <c r="B40" t="s">
        <v>6</v>
      </c>
      <c r="C40">
        <v>0</v>
      </c>
      <c r="D40" s="5">
        <v>28.549250000000008</v>
      </c>
      <c r="E40">
        <v>100</v>
      </c>
      <c r="F40" s="5">
        <v>7.03</v>
      </c>
      <c r="G40">
        <f t="shared" si="1"/>
        <v>50</v>
      </c>
      <c r="H40">
        <v>50</v>
      </c>
    </row>
    <row r="41" spans="1:8">
      <c r="A41" s="1">
        <v>45896</v>
      </c>
      <c r="B41" t="s">
        <v>5</v>
      </c>
      <c r="C41">
        <v>150</v>
      </c>
      <c r="D41" s="5">
        <v>21.259888888888888</v>
      </c>
      <c r="E41">
        <v>0</v>
      </c>
      <c r="F41" s="5">
        <v>7.03</v>
      </c>
      <c r="G41">
        <f t="shared" si="1"/>
        <v>50</v>
      </c>
      <c r="H41">
        <v>50</v>
      </c>
    </row>
    <row r="42" spans="1:8">
      <c r="A42" s="1">
        <v>45897</v>
      </c>
      <c r="B42" t="s">
        <v>3</v>
      </c>
      <c r="C42">
        <v>0</v>
      </c>
      <c r="D42" s="5">
        <v>16.409480519480521</v>
      </c>
      <c r="E42">
        <v>100</v>
      </c>
      <c r="F42" s="5">
        <v>7</v>
      </c>
      <c r="G42">
        <f t="shared" si="1"/>
        <v>50</v>
      </c>
      <c r="H42">
        <v>50</v>
      </c>
    </row>
    <row r="43" spans="1:8">
      <c r="A43" s="1">
        <v>45897</v>
      </c>
      <c r="B43" t="s">
        <v>4</v>
      </c>
      <c r="C43">
        <v>150</v>
      </c>
      <c r="D43" s="5">
        <v>16.041463414634148</v>
      </c>
      <c r="E43">
        <v>0</v>
      </c>
      <c r="F43" s="5">
        <v>7.08</v>
      </c>
      <c r="G43">
        <f t="shared" si="1"/>
        <v>0</v>
      </c>
      <c r="H43">
        <v>50</v>
      </c>
    </row>
    <row r="44" spans="1:8">
      <c r="A44" s="1">
        <v>45897</v>
      </c>
      <c r="B44" t="s">
        <v>6</v>
      </c>
      <c r="C44">
        <v>150</v>
      </c>
      <c r="D44" s="5">
        <v>19.709452054794529</v>
      </c>
      <c r="E44">
        <v>0</v>
      </c>
      <c r="F44" s="5">
        <v>7.03</v>
      </c>
      <c r="G44">
        <f t="shared" si="1"/>
        <v>50</v>
      </c>
      <c r="H44">
        <v>50</v>
      </c>
    </row>
    <row r="45" spans="1:8">
      <c r="A45" s="1">
        <v>45897</v>
      </c>
      <c r="B45" t="s">
        <v>5</v>
      </c>
      <c r="C45">
        <v>150</v>
      </c>
      <c r="D45" s="5">
        <v>20.28378378378379</v>
      </c>
      <c r="E45">
        <v>100</v>
      </c>
      <c r="F45" s="5">
        <v>7.03</v>
      </c>
      <c r="G45">
        <f t="shared" si="1"/>
        <v>50</v>
      </c>
      <c r="H45">
        <v>50</v>
      </c>
    </row>
    <row r="46" spans="1:8">
      <c r="A46" s="1">
        <v>45898</v>
      </c>
      <c r="B46" t="s">
        <v>3</v>
      </c>
      <c r="C46">
        <v>150</v>
      </c>
      <c r="D46">
        <v>45.96</v>
      </c>
      <c r="E46">
        <v>0</v>
      </c>
      <c r="F46" s="5">
        <v>7.06</v>
      </c>
      <c r="G46">
        <f t="shared" si="1"/>
        <v>0</v>
      </c>
      <c r="H46">
        <v>50</v>
      </c>
    </row>
    <row r="47" spans="1:8">
      <c r="A47" s="1">
        <v>45898</v>
      </c>
      <c r="B47" t="s">
        <v>4</v>
      </c>
      <c r="C47">
        <v>150</v>
      </c>
      <c r="D47">
        <v>130.38999999999999</v>
      </c>
      <c r="E47">
        <v>100</v>
      </c>
      <c r="F47" s="5">
        <v>7.03</v>
      </c>
      <c r="G47">
        <f t="shared" si="1"/>
        <v>50</v>
      </c>
      <c r="H47">
        <v>50</v>
      </c>
    </row>
    <row r="48" spans="1:8">
      <c r="A48" s="1">
        <v>45898</v>
      </c>
      <c r="B48" t="s">
        <v>6</v>
      </c>
      <c r="C48">
        <v>150</v>
      </c>
      <c r="D48">
        <v>30.59</v>
      </c>
      <c r="E48">
        <v>0</v>
      </c>
      <c r="F48" s="5">
        <v>7.03</v>
      </c>
      <c r="G48">
        <f t="shared" si="1"/>
        <v>50</v>
      </c>
      <c r="H48">
        <v>50</v>
      </c>
    </row>
    <row r="49" spans="1:8">
      <c r="A49" s="1">
        <v>45898</v>
      </c>
      <c r="B49" t="s">
        <v>5</v>
      </c>
      <c r="C49">
        <v>150</v>
      </c>
      <c r="D49">
        <v>28.36</v>
      </c>
      <c r="E49">
        <v>0</v>
      </c>
      <c r="F49" s="5">
        <v>7.03</v>
      </c>
      <c r="G49">
        <f t="shared" si="1"/>
        <v>50</v>
      </c>
      <c r="H49">
        <v>50</v>
      </c>
    </row>
    <row r="50" spans="1:8">
      <c r="A50" s="1">
        <v>45899</v>
      </c>
      <c r="B50" t="s">
        <v>3</v>
      </c>
      <c r="C50">
        <v>150</v>
      </c>
      <c r="D50">
        <v>25.46</v>
      </c>
      <c r="E50">
        <v>0</v>
      </c>
      <c r="F50" s="5">
        <v>7.03</v>
      </c>
      <c r="G50">
        <f t="shared" si="1"/>
        <v>50</v>
      </c>
      <c r="H50">
        <v>50</v>
      </c>
    </row>
    <row r="51" spans="1:8">
      <c r="A51" s="1">
        <v>45899</v>
      </c>
      <c r="B51" t="s">
        <v>4</v>
      </c>
      <c r="C51">
        <v>150</v>
      </c>
      <c r="D51">
        <v>23.05</v>
      </c>
      <c r="E51">
        <v>0</v>
      </c>
      <c r="F51" s="5">
        <v>7.03</v>
      </c>
      <c r="G51">
        <f t="shared" si="1"/>
        <v>50</v>
      </c>
      <c r="H51">
        <v>50</v>
      </c>
    </row>
    <row r="52" spans="1:8">
      <c r="A52" s="1">
        <v>45899</v>
      </c>
      <c r="B52" t="s">
        <v>6</v>
      </c>
      <c r="C52">
        <v>0</v>
      </c>
      <c r="D52">
        <v>46.91</v>
      </c>
      <c r="E52">
        <v>100</v>
      </c>
      <c r="F52" s="5">
        <v>7.03</v>
      </c>
      <c r="G52">
        <f t="shared" si="1"/>
        <v>50</v>
      </c>
      <c r="H52">
        <v>50</v>
      </c>
    </row>
    <row r="53" spans="1:8">
      <c r="A53" s="1">
        <v>45899</v>
      </c>
      <c r="B53" t="s">
        <v>5</v>
      </c>
      <c r="C53">
        <v>150</v>
      </c>
      <c r="D53">
        <v>28.08</v>
      </c>
      <c r="E53">
        <v>0</v>
      </c>
      <c r="F53" s="5">
        <v>7.03</v>
      </c>
      <c r="G53">
        <f t="shared" si="1"/>
        <v>50</v>
      </c>
      <c r="H53">
        <v>50</v>
      </c>
    </row>
    <row r="54" spans="1:8">
      <c r="A54" s="1">
        <v>45901</v>
      </c>
      <c r="B54" t="s">
        <v>3</v>
      </c>
      <c r="C54">
        <v>150</v>
      </c>
      <c r="D54">
        <v>0</v>
      </c>
      <c r="E54">
        <v>100</v>
      </c>
      <c r="F54" s="5">
        <v>7.03</v>
      </c>
      <c r="G54">
        <f t="shared" si="1"/>
        <v>50</v>
      </c>
      <c r="H54">
        <v>50</v>
      </c>
    </row>
    <row r="55" spans="1:8">
      <c r="A55" s="1">
        <v>45901</v>
      </c>
      <c r="B55" t="s">
        <v>4</v>
      </c>
      <c r="C55">
        <v>0</v>
      </c>
      <c r="D55">
        <v>0</v>
      </c>
      <c r="E55">
        <v>0</v>
      </c>
      <c r="F55" s="5">
        <v>7.03</v>
      </c>
      <c r="G55">
        <f t="shared" si="1"/>
        <v>50</v>
      </c>
      <c r="H55">
        <v>50</v>
      </c>
    </row>
    <row r="56" spans="1:8">
      <c r="A56" s="1">
        <v>45901</v>
      </c>
      <c r="B56" t="s">
        <v>6</v>
      </c>
      <c r="C56">
        <v>0</v>
      </c>
      <c r="D56">
        <v>0</v>
      </c>
      <c r="E56">
        <v>0</v>
      </c>
      <c r="F56" s="5">
        <v>7.03</v>
      </c>
      <c r="G56">
        <f t="shared" si="1"/>
        <v>50</v>
      </c>
      <c r="H56">
        <v>50</v>
      </c>
    </row>
    <row r="57" spans="1:8">
      <c r="A57" s="1">
        <v>45901</v>
      </c>
      <c r="B57" t="s">
        <v>5</v>
      </c>
      <c r="C57">
        <v>150</v>
      </c>
      <c r="D57">
        <v>0</v>
      </c>
      <c r="E57">
        <v>0</v>
      </c>
      <c r="F57" s="5">
        <v>7.03</v>
      </c>
      <c r="G57">
        <f t="shared" si="1"/>
        <v>50</v>
      </c>
      <c r="H57">
        <v>50</v>
      </c>
    </row>
    <row r="58" spans="1:8">
      <c r="A58" s="1">
        <v>45902</v>
      </c>
      <c r="B58" t="s">
        <v>3</v>
      </c>
      <c r="C58">
        <v>150</v>
      </c>
      <c r="D58">
        <v>0</v>
      </c>
      <c r="E58">
        <v>0</v>
      </c>
      <c r="F58" s="5">
        <v>7.03</v>
      </c>
      <c r="G58">
        <f t="shared" si="1"/>
        <v>50</v>
      </c>
      <c r="H58">
        <v>50</v>
      </c>
    </row>
    <row r="59" spans="1:8">
      <c r="A59" s="1">
        <v>45902</v>
      </c>
      <c r="B59" t="s">
        <v>4</v>
      </c>
      <c r="C59">
        <v>0</v>
      </c>
      <c r="D59">
        <v>0</v>
      </c>
      <c r="E59">
        <v>0</v>
      </c>
      <c r="F59" s="5">
        <v>7.03</v>
      </c>
      <c r="G59">
        <f t="shared" si="1"/>
        <v>50</v>
      </c>
      <c r="H59">
        <v>50</v>
      </c>
    </row>
    <row r="60" spans="1:8">
      <c r="A60" s="1">
        <v>45902</v>
      </c>
      <c r="B60" t="s">
        <v>6</v>
      </c>
      <c r="C60">
        <v>0</v>
      </c>
      <c r="D60">
        <v>0</v>
      </c>
      <c r="E60">
        <v>0</v>
      </c>
      <c r="F60" s="5">
        <v>7.03</v>
      </c>
      <c r="G60">
        <f t="shared" si="1"/>
        <v>50</v>
      </c>
      <c r="H60">
        <v>50</v>
      </c>
    </row>
    <row r="61" spans="1:8">
      <c r="A61" s="1">
        <v>45902</v>
      </c>
      <c r="B61" t="s">
        <v>5</v>
      </c>
      <c r="C61">
        <v>150</v>
      </c>
      <c r="D61">
        <v>0</v>
      </c>
      <c r="E61">
        <v>100</v>
      </c>
      <c r="F61" s="5">
        <v>7.03</v>
      </c>
      <c r="G61">
        <f t="shared" si="1"/>
        <v>50</v>
      </c>
      <c r="H61">
        <v>50</v>
      </c>
    </row>
    <row r="62" spans="1:8">
      <c r="A62" s="1">
        <v>45903</v>
      </c>
      <c r="B62" t="s">
        <v>3</v>
      </c>
      <c r="C62">
        <v>0</v>
      </c>
      <c r="D62">
        <v>0</v>
      </c>
      <c r="E62">
        <v>0</v>
      </c>
      <c r="F62" s="5">
        <v>7.03</v>
      </c>
      <c r="G62">
        <f t="shared" si="1"/>
        <v>50</v>
      </c>
      <c r="H62">
        <v>50</v>
      </c>
    </row>
    <row r="63" spans="1:8">
      <c r="A63" s="1">
        <v>45903</v>
      </c>
      <c r="B63" t="s">
        <v>4</v>
      </c>
      <c r="C63">
        <v>0</v>
      </c>
      <c r="D63">
        <v>0</v>
      </c>
      <c r="E63">
        <v>0</v>
      </c>
      <c r="F63" s="5">
        <v>7.03</v>
      </c>
      <c r="G63">
        <f t="shared" si="1"/>
        <v>50</v>
      </c>
      <c r="H63">
        <v>50</v>
      </c>
    </row>
    <row r="64" spans="1:8">
      <c r="A64" s="1">
        <v>45903</v>
      </c>
      <c r="B64" t="s">
        <v>6</v>
      </c>
      <c r="C64">
        <v>150</v>
      </c>
      <c r="D64">
        <v>0</v>
      </c>
      <c r="E64">
        <v>100</v>
      </c>
      <c r="F64" s="5">
        <v>7.03</v>
      </c>
      <c r="G64">
        <f t="shared" si="1"/>
        <v>50</v>
      </c>
      <c r="H64">
        <v>50</v>
      </c>
    </row>
    <row r="65" spans="1:8">
      <c r="A65" s="1">
        <v>45903</v>
      </c>
      <c r="B65" t="s">
        <v>5</v>
      </c>
      <c r="C65">
        <v>150</v>
      </c>
      <c r="D65">
        <v>0</v>
      </c>
      <c r="E65">
        <v>0</v>
      </c>
      <c r="F65" s="5">
        <v>7.03</v>
      </c>
      <c r="G65">
        <f t="shared" si="1"/>
        <v>50</v>
      </c>
      <c r="H65">
        <v>50</v>
      </c>
    </row>
    <row r="66" spans="1:8">
      <c r="A66" s="1">
        <v>45904</v>
      </c>
      <c r="B66" t="s">
        <v>3</v>
      </c>
      <c r="C66">
        <v>0</v>
      </c>
      <c r="D66">
        <v>0</v>
      </c>
      <c r="E66">
        <v>0</v>
      </c>
      <c r="F66" s="5">
        <v>7.03</v>
      </c>
      <c r="G66">
        <f t="shared" ref="G66:G97" si="2">IF(F66&lt;7.0501,50,0)</f>
        <v>50</v>
      </c>
      <c r="H66">
        <v>50</v>
      </c>
    </row>
    <row r="67" spans="1:8">
      <c r="A67" s="1">
        <v>45904</v>
      </c>
      <c r="B67" t="s">
        <v>4</v>
      </c>
      <c r="C67">
        <v>0</v>
      </c>
      <c r="D67">
        <v>0</v>
      </c>
      <c r="E67">
        <v>0</v>
      </c>
      <c r="F67" s="5">
        <v>7.03</v>
      </c>
      <c r="G67">
        <f t="shared" si="2"/>
        <v>50</v>
      </c>
      <c r="H67">
        <v>50</v>
      </c>
    </row>
    <row r="68" spans="1:8">
      <c r="A68" s="1">
        <v>45904</v>
      </c>
      <c r="B68" t="s">
        <v>6</v>
      </c>
      <c r="C68">
        <v>0</v>
      </c>
      <c r="D68">
        <v>0</v>
      </c>
      <c r="E68">
        <v>0</v>
      </c>
      <c r="F68" s="5">
        <v>7.03</v>
      </c>
      <c r="G68">
        <f t="shared" si="2"/>
        <v>50</v>
      </c>
      <c r="H68">
        <v>50</v>
      </c>
    </row>
    <row r="69" spans="1:8">
      <c r="A69" s="1">
        <v>45904</v>
      </c>
      <c r="B69" t="s">
        <v>5</v>
      </c>
      <c r="C69">
        <v>0</v>
      </c>
      <c r="D69">
        <v>0</v>
      </c>
      <c r="E69">
        <v>0</v>
      </c>
      <c r="F69" s="5">
        <v>7.03</v>
      </c>
      <c r="G69">
        <f t="shared" si="2"/>
        <v>50</v>
      </c>
      <c r="H69">
        <v>50</v>
      </c>
    </row>
    <row r="70" spans="1:8">
      <c r="A70" s="1">
        <v>45905</v>
      </c>
      <c r="B70" t="s">
        <v>3</v>
      </c>
      <c r="C70">
        <v>0</v>
      </c>
      <c r="D70">
        <v>0</v>
      </c>
      <c r="E70">
        <v>0</v>
      </c>
      <c r="F70" s="5">
        <v>7.03</v>
      </c>
      <c r="G70">
        <f t="shared" si="2"/>
        <v>50</v>
      </c>
      <c r="H70">
        <v>50</v>
      </c>
    </row>
    <row r="71" spans="1:8">
      <c r="A71" s="1">
        <v>45905</v>
      </c>
      <c r="B71" t="s">
        <v>4</v>
      </c>
      <c r="C71">
        <v>0</v>
      </c>
      <c r="D71">
        <v>0</v>
      </c>
      <c r="E71">
        <v>0</v>
      </c>
      <c r="F71" s="5">
        <v>7.03</v>
      </c>
      <c r="G71">
        <f t="shared" si="2"/>
        <v>50</v>
      </c>
      <c r="H71">
        <v>50</v>
      </c>
    </row>
    <row r="72" spans="1:8">
      <c r="A72" s="1">
        <v>45905</v>
      </c>
      <c r="B72" t="s">
        <v>6</v>
      </c>
      <c r="C72">
        <v>0</v>
      </c>
      <c r="D72">
        <v>0</v>
      </c>
      <c r="E72">
        <v>0</v>
      </c>
      <c r="F72" s="5">
        <v>7.03</v>
      </c>
      <c r="G72">
        <f t="shared" si="2"/>
        <v>50</v>
      </c>
      <c r="H72">
        <v>50</v>
      </c>
    </row>
    <row r="73" spans="1:8">
      <c r="A73" s="1">
        <v>45905</v>
      </c>
      <c r="B73" t="s">
        <v>5</v>
      </c>
      <c r="C73">
        <v>0</v>
      </c>
      <c r="D73">
        <v>0</v>
      </c>
      <c r="E73">
        <v>0</v>
      </c>
      <c r="F73" s="5">
        <v>7.03</v>
      </c>
      <c r="G73">
        <f t="shared" si="2"/>
        <v>50</v>
      </c>
      <c r="H73">
        <v>50</v>
      </c>
    </row>
    <row r="74" spans="1:8">
      <c r="A74" s="1">
        <v>45906</v>
      </c>
      <c r="B74" t="s">
        <v>3</v>
      </c>
      <c r="C74">
        <v>0</v>
      </c>
      <c r="D74">
        <v>0</v>
      </c>
      <c r="E74">
        <v>0</v>
      </c>
      <c r="F74" s="5">
        <v>7.03</v>
      </c>
      <c r="G74">
        <f t="shared" si="2"/>
        <v>50</v>
      </c>
      <c r="H74">
        <v>50</v>
      </c>
    </row>
    <row r="75" spans="1:8">
      <c r="A75" s="1">
        <v>45906</v>
      </c>
      <c r="B75" t="s">
        <v>4</v>
      </c>
      <c r="C75">
        <v>0</v>
      </c>
      <c r="D75">
        <v>0</v>
      </c>
      <c r="E75">
        <v>0</v>
      </c>
      <c r="F75" s="5">
        <v>7.03</v>
      </c>
      <c r="G75">
        <f t="shared" si="2"/>
        <v>50</v>
      </c>
      <c r="H75">
        <v>50</v>
      </c>
    </row>
    <row r="76" spans="1:8">
      <c r="A76" s="1">
        <v>45906</v>
      </c>
      <c r="B76" t="s">
        <v>6</v>
      </c>
      <c r="C76">
        <v>0</v>
      </c>
      <c r="D76">
        <v>0</v>
      </c>
      <c r="E76">
        <v>0</v>
      </c>
      <c r="F76" s="5">
        <v>7.03</v>
      </c>
      <c r="G76">
        <f t="shared" si="2"/>
        <v>50</v>
      </c>
      <c r="H76">
        <v>50</v>
      </c>
    </row>
    <row r="77" spans="1:8">
      <c r="A77" s="1">
        <v>45906</v>
      </c>
      <c r="B77" t="s">
        <v>5</v>
      </c>
      <c r="C77">
        <v>0</v>
      </c>
      <c r="D77">
        <v>0</v>
      </c>
      <c r="E77">
        <v>0</v>
      </c>
      <c r="F77" s="5">
        <v>7.03</v>
      </c>
      <c r="G77">
        <f t="shared" si="2"/>
        <v>50</v>
      </c>
      <c r="H77">
        <v>50</v>
      </c>
    </row>
    <row r="78" spans="1:8">
      <c r="A78" s="1">
        <v>45907</v>
      </c>
      <c r="B78" t="s">
        <v>3</v>
      </c>
      <c r="C78">
        <v>150</v>
      </c>
      <c r="D78">
        <v>0</v>
      </c>
      <c r="E78">
        <v>0</v>
      </c>
      <c r="F78" s="5">
        <v>7.03</v>
      </c>
      <c r="G78">
        <f t="shared" si="2"/>
        <v>50</v>
      </c>
      <c r="H78">
        <v>50</v>
      </c>
    </row>
    <row r="79" spans="1:8">
      <c r="A79" s="1">
        <v>45907</v>
      </c>
      <c r="B79" t="s">
        <v>4</v>
      </c>
      <c r="C79">
        <v>150</v>
      </c>
      <c r="D79">
        <v>0</v>
      </c>
      <c r="E79">
        <v>0</v>
      </c>
      <c r="F79" s="5">
        <v>7.03</v>
      </c>
      <c r="G79">
        <f t="shared" si="2"/>
        <v>50</v>
      </c>
      <c r="H79">
        <v>50</v>
      </c>
    </row>
    <row r="80" spans="1:8">
      <c r="A80" s="1">
        <v>45907</v>
      </c>
      <c r="B80" t="s">
        <v>6</v>
      </c>
      <c r="C80">
        <v>150</v>
      </c>
      <c r="D80">
        <v>0</v>
      </c>
      <c r="E80">
        <v>0</v>
      </c>
      <c r="F80" s="5">
        <v>7.03</v>
      </c>
      <c r="G80">
        <f t="shared" si="2"/>
        <v>50</v>
      </c>
      <c r="H80">
        <v>50</v>
      </c>
    </row>
    <row r="81" spans="1:11">
      <c r="A81" s="1">
        <v>45907</v>
      </c>
      <c r="B81" t="s">
        <v>5</v>
      </c>
      <c r="C81">
        <v>150</v>
      </c>
      <c r="D81">
        <v>0</v>
      </c>
      <c r="E81">
        <v>100</v>
      </c>
      <c r="F81" s="5">
        <v>7.03</v>
      </c>
      <c r="G81">
        <f t="shared" si="2"/>
        <v>50</v>
      </c>
      <c r="H81">
        <v>50</v>
      </c>
    </row>
    <row r="82" spans="1:11">
      <c r="A82" s="1">
        <v>45908</v>
      </c>
      <c r="B82" t="s">
        <v>3</v>
      </c>
      <c r="C82">
        <v>100</v>
      </c>
      <c r="D82">
        <v>26.91</v>
      </c>
      <c r="E82">
        <v>0</v>
      </c>
      <c r="F82" s="5">
        <v>7.03</v>
      </c>
      <c r="G82">
        <f t="shared" si="2"/>
        <v>50</v>
      </c>
      <c r="H82">
        <v>50</v>
      </c>
      <c r="K82">
        <v>0</v>
      </c>
    </row>
    <row r="83" spans="1:11">
      <c r="A83" s="1">
        <v>45908</v>
      </c>
      <c r="B83" t="s">
        <v>4</v>
      </c>
      <c r="C83">
        <v>0</v>
      </c>
      <c r="D83">
        <v>19.02</v>
      </c>
      <c r="E83">
        <v>0</v>
      </c>
      <c r="F83" s="5">
        <v>7.03</v>
      </c>
      <c r="G83">
        <f t="shared" si="2"/>
        <v>50</v>
      </c>
      <c r="H83">
        <v>50</v>
      </c>
      <c r="K83">
        <v>0</v>
      </c>
    </row>
    <row r="84" spans="1:11">
      <c r="A84" s="1">
        <v>45908</v>
      </c>
      <c r="B84" t="s">
        <v>6</v>
      </c>
      <c r="C84">
        <v>0</v>
      </c>
      <c r="D84">
        <v>17.920000000000002</v>
      </c>
      <c r="E84">
        <v>0</v>
      </c>
      <c r="F84" s="5">
        <v>7.03</v>
      </c>
      <c r="G84">
        <f t="shared" si="2"/>
        <v>50</v>
      </c>
      <c r="H84">
        <v>50</v>
      </c>
      <c r="K84">
        <v>100</v>
      </c>
    </row>
    <row r="85" spans="1:11">
      <c r="A85" s="1">
        <v>45908</v>
      </c>
      <c r="B85" t="s">
        <v>5</v>
      </c>
      <c r="C85">
        <v>100</v>
      </c>
      <c r="D85">
        <v>29.66</v>
      </c>
      <c r="E85">
        <v>100</v>
      </c>
      <c r="F85" s="5">
        <v>7.03</v>
      </c>
      <c r="G85">
        <f t="shared" si="2"/>
        <v>50</v>
      </c>
      <c r="H85">
        <v>50</v>
      </c>
      <c r="K85">
        <v>0</v>
      </c>
    </row>
    <row r="86" spans="1:11">
      <c r="A86" s="1">
        <v>45909</v>
      </c>
      <c r="B86" t="s">
        <v>3</v>
      </c>
      <c r="C86">
        <v>0</v>
      </c>
      <c r="D86">
        <v>30.5</v>
      </c>
      <c r="E86">
        <v>0</v>
      </c>
      <c r="F86" s="5">
        <v>7.03</v>
      </c>
      <c r="G86">
        <f t="shared" si="2"/>
        <v>50</v>
      </c>
      <c r="H86">
        <v>50</v>
      </c>
      <c r="K86">
        <v>0</v>
      </c>
    </row>
    <row r="87" spans="1:11">
      <c r="A87" s="1">
        <v>45909</v>
      </c>
      <c r="B87" t="s">
        <v>4</v>
      </c>
      <c r="C87">
        <v>0</v>
      </c>
      <c r="D87">
        <v>15.62</v>
      </c>
      <c r="E87">
        <v>0</v>
      </c>
      <c r="F87" s="5">
        <v>7.03</v>
      </c>
      <c r="G87">
        <f t="shared" si="2"/>
        <v>50</v>
      </c>
      <c r="H87">
        <v>50</v>
      </c>
      <c r="K87">
        <v>0</v>
      </c>
    </row>
    <row r="88" spans="1:11">
      <c r="A88" s="1">
        <v>45909</v>
      </c>
      <c r="B88" t="s">
        <v>6</v>
      </c>
      <c r="C88">
        <v>100</v>
      </c>
      <c r="D88">
        <v>26.54</v>
      </c>
      <c r="E88">
        <v>0</v>
      </c>
      <c r="F88" s="5">
        <v>7.03</v>
      </c>
      <c r="G88">
        <f t="shared" si="2"/>
        <v>50</v>
      </c>
      <c r="H88">
        <v>50</v>
      </c>
      <c r="K88">
        <v>100</v>
      </c>
    </row>
    <row r="89" spans="1:11">
      <c r="A89" s="1">
        <v>45909</v>
      </c>
      <c r="B89" t="s">
        <v>5</v>
      </c>
      <c r="C89">
        <v>100</v>
      </c>
      <c r="D89">
        <v>57.9</v>
      </c>
      <c r="E89">
        <v>100</v>
      </c>
      <c r="F89" s="5">
        <v>7.03</v>
      </c>
      <c r="G89">
        <f t="shared" si="2"/>
        <v>50</v>
      </c>
      <c r="H89">
        <v>50</v>
      </c>
      <c r="K89">
        <v>100</v>
      </c>
    </row>
    <row r="90" spans="1:11">
      <c r="A90" s="1">
        <v>45910</v>
      </c>
      <c r="B90" t="s">
        <v>3</v>
      </c>
      <c r="C90">
        <v>0</v>
      </c>
      <c r="D90">
        <v>21.87</v>
      </c>
      <c r="E90">
        <v>0</v>
      </c>
      <c r="F90" s="5">
        <v>7.03</v>
      </c>
      <c r="G90">
        <f t="shared" si="2"/>
        <v>50</v>
      </c>
      <c r="H90">
        <v>50</v>
      </c>
      <c r="K90">
        <v>0</v>
      </c>
    </row>
    <row r="91" spans="1:11">
      <c r="A91" s="1">
        <v>45910</v>
      </c>
      <c r="B91" t="s">
        <v>4</v>
      </c>
      <c r="C91">
        <v>100</v>
      </c>
      <c r="D91">
        <v>23.59</v>
      </c>
      <c r="E91">
        <v>0</v>
      </c>
      <c r="F91" s="5">
        <v>7.03</v>
      </c>
      <c r="G91">
        <f t="shared" si="2"/>
        <v>50</v>
      </c>
      <c r="H91">
        <v>50</v>
      </c>
      <c r="K91">
        <v>0</v>
      </c>
    </row>
    <row r="92" spans="1:11">
      <c r="A92" s="1">
        <v>45910</v>
      </c>
      <c r="B92" t="s">
        <v>6</v>
      </c>
      <c r="C92">
        <v>0</v>
      </c>
      <c r="D92" s="5">
        <v>20.95</v>
      </c>
      <c r="E92">
        <v>0</v>
      </c>
      <c r="F92" s="5">
        <v>7.03</v>
      </c>
      <c r="G92">
        <f t="shared" si="2"/>
        <v>50</v>
      </c>
      <c r="H92">
        <v>50</v>
      </c>
      <c r="K92">
        <v>100</v>
      </c>
    </row>
    <row r="93" spans="1:11">
      <c r="A93" s="1">
        <v>45910</v>
      </c>
      <c r="B93" t="s">
        <v>5</v>
      </c>
      <c r="C93">
        <v>100</v>
      </c>
      <c r="D93" s="5">
        <v>35.4</v>
      </c>
      <c r="E93">
        <v>100</v>
      </c>
      <c r="F93" s="5">
        <v>7.03</v>
      </c>
      <c r="G93">
        <f t="shared" si="2"/>
        <v>50</v>
      </c>
      <c r="H93">
        <v>50</v>
      </c>
      <c r="K93">
        <v>0</v>
      </c>
    </row>
    <row r="94" spans="1:11">
      <c r="A94" s="1">
        <v>45911</v>
      </c>
      <c r="B94" t="s">
        <v>3</v>
      </c>
      <c r="C94">
        <v>0</v>
      </c>
      <c r="D94" s="5">
        <v>24.9933870967742</v>
      </c>
      <c r="E94">
        <v>0</v>
      </c>
      <c r="F94" s="5">
        <v>7.03</v>
      </c>
      <c r="G94">
        <f t="shared" si="2"/>
        <v>50</v>
      </c>
      <c r="H94">
        <v>50</v>
      </c>
      <c r="I94">
        <v>6</v>
      </c>
      <c r="J94" s="9">
        <v>8.4</v>
      </c>
      <c r="K94">
        <v>0</v>
      </c>
    </row>
    <row r="95" spans="1:11">
      <c r="A95" s="1">
        <v>45911</v>
      </c>
      <c r="B95" t="s">
        <v>4</v>
      </c>
      <c r="C95">
        <v>0</v>
      </c>
      <c r="D95" s="5">
        <v>24.818421052631582</v>
      </c>
      <c r="E95">
        <v>0</v>
      </c>
      <c r="F95" s="5">
        <v>7.03</v>
      </c>
      <c r="G95">
        <f t="shared" si="2"/>
        <v>50</v>
      </c>
      <c r="H95">
        <v>50</v>
      </c>
      <c r="I95">
        <v>5</v>
      </c>
      <c r="J95" s="9">
        <v>3.625</v>
      </c>
      <c r="K95">
        <v>100</v>
      </c>
    </row>
    <row r="96" spans="1:11">
      <c r="A96" s="1">
        <v>45911</v>
      </c>
      <c r="B96" t="s">
        <v>6</v>
      </c>
      <c r="C96">
        <v>0</v>
      </c>
      <c r="D96" s="5">
        <v>23.663492063492065</v>
      </c>
      <c r="E96">
        <v>0</v>
      </c>
      <c r="F96" s="5">
        <v>7.03</v>
      </c>
      <c r="G96">
        <f t="shared" si="2"/>
        <v>50</v>
      </c>
      <c r="H96">
        <v>50</v>
      </c>
      <c r="I96">
        <v>16</v>
      </c>
      <c r="J96" s="9">
        <v>11.11111111</v>
      </c>
      <c r="K96">
        <v>100</v>
      </c>
    </row>
    <row r="97" spans="1:11">
      <c r="A97" s="1">
        <v>45911</v>
      </c>
      <c r="B97" t="s">
        <v>5</v>
      </c>
      <c r="C97">
        <v>100</v>
      </c>
      <c r="D97" s="5">
        <v>44.051702127659581</v>
      </c>
      <c r="E97">
        <v>100</v>
      </c>
      <c r="F97" s="5">
        <v>7.03</v>
      </c>
      <c r="G97">
        <f t="shared" si="2"/>
        <v>50</v>
      </c>
      <c r="H97">
        <v>50</v>
      </c>
      <c r="I97">
        <v>5</v>
      </c>
      <c r="J97" s="9">
        <v>5.6666666670000003</v>
      </c>
      <c r="K97">
        <v>0</v>
      </c>
    </row>
    <row r="98" spans="1:11">
      <c r="A98" s="1">
        <v>45912</v>
      </c>
      <c r="B98" t="s">
        <v>3</v>
      </c>
      <c r="C98">
        <v>0</v>
      </c>
      <c r="D98" s="5">
        <v>28.856666666666669</v>
      </c>
      <c r="E98">
        <v>0</v>
      </c>
      <c r="F98" s="5">
        <v>7.03</v>
      </c>
      <c r="G98">
        <f t="shared" ref="G98:G129" si="3">IF(F98&lt;7.0501,50,0)</f>
        <v>50</v>
      </c>
      <c r="H98">
        <v>50</v>
      </c>
      <c r="I98">
        <v>11</v>
      </c>
      <c r="J98" s="9">
        <v>8.4</v>
      </c>
      <c r="K98">
        <v>100</v>
      </c>
    </row>
    <row r="99" spans="1:11">
      <c r="A99" s="1">
        <v>45912</v>
      </c>
      <c r="B99" t="s">
        <v>4</v>
      </c>
      <c r="C99">
        <v>0</v>
      </c>
      <c r="D99" s="5">
        <v>26.590000000000003</v>
      </c>
      <c r="E99">
        <v>0</v>
      </c>
      <c r="F99" s="5">
        <v>7.03</v>
      </c>
      <c r="G99">
        <f t="shared" si="3"/>
        <v>50</v>
      </c>
      <c r="H99">
        <v>50</v>
      </c>
      <c r="I99">
        <v>1</v>
      </c>
      <c r="J99" s="9">
        <v>3.625</v>
      </c>
      <c r="K99">
        <v>0</v>
      </c>
    </row>
    <row r="100" spans="1:11">
      <c r="A100" s="1">
        <v>45912</v>
      </c>
      <c r="B100" t="s">
        <v>6</v>
      </c>
      <c r="C100">
        <v>0</v>
      </c>
      <c r="D100" s="5">
        <v>22.554444444444449</v>
      </c>
      <c r="E100">
        <v>0</v>
      </c>
      <c r="F100" s="5">
        <v>7.03</v>
      </c>
      <c r="G100">
        <f t="shared" si="3"/>
        <v>50</v>
      </c>
      <c r="H100">
        <v>50</v>
      </c>
      <c r="I100">
        <v>18</v>
      </c>
      <c r="J100" s="9">
        <v>11.11111111</v>
      </c>
      <c r="K100">
        <v>100</v>
      </c>
    </row>
    <row r="101" spans="1:11">
      <c r="A101" s="1">
        <v>45912</v>
      </c>
      <c r="B101" t="s">
        <v>5</v>
      </c>
      <c r="C101">
        <v>100</v>
      </c>
      <c r="D101" s="5">
        <v>58.088717948717949</v>
      </c>
      <c r="E101">
        <v>100</v>
      </c>
      <c r="F101" s="5">
        <v>7.03</v>
      </c>
      <c r="G101">
        <f t="shared" si="3"/>
        <v>50</v>
      </c>
      <c r="H101">
        <v>50</v>
      </c>
      <c r="I101">
        <v>1</v>
      </c>
      <c r="J101" s="9">
        <v>5.6666666670000003</v>
      </c>
      <c r="K101">
        <v>0</v>
      </c>
    </row>
    <row r="102" spans="1:11">
      <c r="A102" s="1">
        <v>45913</v>
      </c>
      <c r="B102" t="s">
        <v>3</v>
      </c>
      <c r="C102">
        <v>0</v>
      </c>
      <c r="D102" s="5">
        <v>31.059743589743601</v>
      </c>
      <c r="E102">
        <v>0</v>
      </c>
      <c r="F102" s="5">
        <v>7.03</v>
      </c>
      <c r="G102">
        <f t="shared" si="3"/>
        <v>50</v>
      </c>
      <c r="H102">
        <v>50</v>
      </c>
      <c r="I102">
        <v>10</v>
      </c>
      <c r="J102" s="9">
        <v>8.4</v>
      </c>
      <c r="K102">
        <v>100</v>
      </c>
    </row>
    <row r="103" spans="1:11">
      <c r="A103" s="1">
        <v>45913</v>
      </c>
      <c r="B103" t="s">
        <v>4</v>
      </c>
      <c r="C103">
        <v>100</v>
      </c>
      <c r="D103" s="5">
        <v>25.143076923076926</v>
      </c>
      <c r="E103">
        <v>0</v>
      </c>
      <c r="F103" s="5">
        <v>7.03</v>
      </c>
      <c r="G103">
        <f t="shared" si="3"/>
        <v>50</v>
      </c>
      <c r="H103">
        <v>50</v>
      </c>
      <c r="I103">
        <v>4</v>
      </c>
      <c r="J103" s="9">
        <v>3.625</v>
      </c>
      <c r="K103">
        <v>100</v>
      </c>
    </row>
    <row r="104" spans="1:11">
      <c r="A104" s="1">
        <v>45913</v>
      </c>
      <c r="B104" t="s">
        <v>6</v>
      </c>
      <c r="C104">
        <v>0</v>
      </c>
      <c r="D104" s="5">
        <v>24.970172413793112</v>
      </c>
      <c r="E104">
        <v>0</v>
      </c>
      <c r="F104" s="5">
        <v>7.03</v>
      </c>
      <c r="G104">
        <f t="shared" si="3"/>
        <v>50</v>
      </c>
      <c r="H104">
        <v>50</v>
      </c>
      <c r="I104">
        <v>14</v>
      </c>
      <c r="J104" s="9">
        <v>11.11111111</v>
      </c>
      <c r="K104">
        <v>100</v>
      </c>
    </row>
    <row r="105" spans="1:11">
      <c r="A105" s="1">
        <v>45913</v>
      </c>
      <c r="B105" t="s">
        <v>5</v>
      </c>
      <c r="C105">
        <v>100</v>
      </c>
      <c r="D105" s="5">
        <v>54.479512195121949</v>
      </c>
      <c r="E105">
        <v>100</v>
      </c>
      <c r="F105" s="5">
        <v>7.03</v>
      </c>
      <c r="G105">
        <f t="shared" si="3"/>
        <v>50</v>
      </c>
      <c r="H105">
        <v>50</v>
      </c>
      <c r="J105" s="9">
        <v>5.6666666670000003</v>
      </c>
      <c r="K105">
        <v>0</v>
      </c>
    </row>
    <row r="106" spans="1:11">
      <c r="A106" s="1">
        <v>45914</v>
      </c>
      <c r="B106" t="s">
        <v>3</v>
      </c>
      <c r="C106">
        <v>0</v>
      </c>
      <c r="D106" s="5">
        <v>26.98295454545455</v>
      </c>
      <c r="E106">
        <v>0</v>
      </c>
      <c r="F106" s="5">
        <v>7.03</v>
      </c>
      <c r="G106">
        <f t="shared" si="3"/>
        <v>50</v>
      </c>
      <c r="H106">
        <v>50</v>
      </c>
      <c r="I106">
        <v>7</v>
      </c>
      <c r="J106" s="9">
        <v>8.4</v>
      </c>
      <c r="K106">
        <v>0</v>
      </c>
    </row>
    <row r="107" spans="1:11">
      <c r="A107" s="1">
        <v>45914</v>
      </c>
      <c r="B107" t="s">
        <v>4</v>
      </c>
      <c r="C107">
        <v>0</v>
      </c>
      <c r="D107" s="5">
        <v>35.085000000000001</v>
      </c>
      <c r="E107">
        <v>100</v>
      </c>
      <c r="F107" s="5">
        <v>7.03</v>
      </c>
      <c r="G107">
        <f t="shared" si="3"/>
        <v>50</v>
      </c>
      <c r="H107">
        <v>50</v>
      </c>
      <c r="I107">
        <v>3</v>
      </c>
      <c r="J107" s="9">
        <v>3.625</v>
      </c>
      <c r="K107">
        <v>0</v>
      </c>
    </row>
    <row r="108" spans="1:11">
      <c r="A108" s="1">
        <v>45914</v>
      </c>
      <c r="B108" t="s">
        <v>6</v>
      </c>
      <c r="C108">
        <v>0</v>
      </c>
      <c r="D108" s="5">
        <v>25.855689655172423</v>
      </c>
      <c r="E108">
        <v>0</v>
      </c>
      <c r="F108" s="5">
        <v>7.03</v>
      </c>
      <c r="G108">
        <f t="shared" si="3"/>
        <v>50</v>
      </c>
      <c r="H108">
        <v>50</v>
      </c>
      <c r="I108">
        <v>23</v>
      </c>
      <c r="J108" s="9">
        <v>11.11111111</v>
      </c>
      <c r="K108">
        <v>100</v>
      </c>
    </row>
    <row r="109" spans="1:11">
      <c r="A109" s="1">
        <v>45914</v>
      </c>
      <c r="B109" t="s">
        <v>5</v>
      </c>
      <c r="C109">
        <v>100</v>
      </c>
      <c r="D109" s="5">
        <v>26.708860759493682</v>
      </c>
      <c r="E109">
        <v>0</v>
      </c>
      <c r="F109" s="5">
        <v>7.03</v>
      </c>
      <c r="G109">
        <f t="shared" si="3"/>
        <v>50</v>
      </c>
      <c r="H109">
        <v>50</v>
      </c>
      <c r="I109">
        <v>0</v>
      </c>
      <c r="J109" s="9">
        <v>5.6666666670000003</v>
      </c>
      <c r="K109">
        <v>0</v>
      </c>
    </row>
    <row r="110" spans="1:11">
      <c r="A110" s="1">
        <v>45915</v>
      </c>
      <c r="B110" t="s">
        <v>3</v>
      </c>
      <c r="C110">
        <v>100</v>
      </c>
      <c r="D110">
        <v>0</v>
      </c>
      <c r="E110">
        <v>0</v>
      </c>
      <c r="F110" s="5">
        <v>7.03</v>
      </c>
      <c r="G110">
        <f t="shared" si="3"/>
        <v>50</v>
      </c>
      <c r="H110">
        <v>50</v>
      </c>
      <c r="I110">
        <v>14</v>
      </c>
      <c r="J110" s="9">
        <v>8.4</v>
      </c>
      <c r="K110">
        <v>100</v>
      </c>
    </row>
    <row r="111" spans="1:11">
      <c r="A111" s="1">
        <v>45915</v>
      </c>
      <c r="B111" t="s">
        <v>4</v>
      </c>
      <c r="C111">
        <v>100</v>
      </c>
      <c r="D111">
        <v>0</v>
      </c>
      <c r="E111">
        <v>0</v>
      </c>
      <c r="F111" s="5">
        <v>7.03</v>
      </c>
      <c r="G111">
        <f t="shared" si="3"/>
        <v>50</v>
      </c>
      <c r="H111">
        <v>50</v>
      </c>
      <c r="I111">
        <v>1</v>
      </c>
      <c r="J111" s="9">
        <v>3.625</v>
      </c>
      <c r="K111">
        <v>0</v>
      </c>
    </row>
    <row r="112" spans="1:11">
      <c r="A112" s="1">
        <v>45915</v>
      </c>
      <c r="B112" t="s">
        <v>6</v>
      </c>
      <c r="C112">
        <v>100</v>
      </c>
      <c r="D112">
        <v>0</v>
      </c>
      <c r="E112">
        <v>0</v>
      </c>
      <c r="F112" s="5">
        <v>7.03</v>
      </c>
      <c r="G112">
        <f t="shared" si="3"/>
        <v>50</v>
      </c>
      <c r="H112">
        <v>50</v>
      </c>
      <c r="I112">
        <v>5</v>
      </c>
      <c r="J112" s="9">
        <v>11.11111111</v>
      </c>
      <c r="K112">
        <v>0</v>
      </c>
    </row>
    <row r="113" spans="1:11">
      <c r="A113" s="1">
        <v>45915</v>
      </c>
      <c r="B113" t="s">
        <v>5</v>
      </c>
      <c r="C113">
        <v>100</v>
      </c>
      <c r="D113">
        <v>0</v>
      </c>
      <c r="E113">
        <v>0</v>
      </c>
      <c r="F113" s="5">
        <v>7.03</v>
      </c>
      <c r="G113">
        <f t="shared" si="3"/>
        <v>50</v>
      </c>
      <c r="H113">
        <v>50</v>
      </c>
      <c r="I113">
        <v>0</v>
      </c>
      <c r="J113" s="9">
        <v>5.6666666670000003</v>
      </c>
      <c r="K113">
        <v>0</v>
      </c>
    </row>
    <row r="114" spans="1:11">
      <c r="A114" s="1">
        <v>45916</v>
      </c>
      <c r="B114" t="s">
        <v>3</v>
      </c>
      <c r="C114">
        <v>0</v>
      </c>
      <c r="D114">
        <v>0</v>
      </c>
      <c r="E114">
        <v>0</v>
      </c>
      <c r="F114" s="5">
        <v>7.03</v>
      </c>
      <c r="G114">
        <f t="shared" si="3"/>
        <v>50</v>
      </c>
      <c r="H114">
        <v>50</v>
      </c>
      <c r="I114">
        <v>7</v>
      </c>
      <c r="J114" s="9">
        <v>8.4</v>
      </c>
      <c r="K114">
        <v>100</v>
      </c>
    </row>
    <row r="115" spans="1:11">
      <c r="A115" s="1">
        <v>45916</v>
      </c>
      <c r="B115" t="s">
        <v>4</v>
      </c>
      <c r="C115">
        <v>0</v>
      </c>
      <c r="D115">
        <v>0</v>
      </c>
      <c r="E115">
        <v>0</v>
      </c>
      <c r="F115" s="5">
        <v>7.03</v>
      </c>
      <c r="G115">
        <f t="shared" si="3"/>
        <v>50</v>
      </c>
      <c r="H115">
        <v>50</v>
      </c>
      <c r="I115">
        <v>2</v>
      </c>
      <c r="J115" s="9">
        <v>3.625</v>
      </c>
      <c r="K115">
        <v>0</v>
      </c>
    </row>
    <row r="116" spans="1:11">
      <c r="A116" s="1">
        <v>45916</v>
      </c>
      <c r="B116" t="s">
        <v>6</v>
      </c>
      <c r="C116">
        <v>0</v>
      </c>
      <c r="D116">
        <v>0</v>
      </c>
      <c r="E116">
        <v>0</v>
      </c>
      <c r="F116" s="5">
        <v>7.03</v>
      </c>
      <c r="G116">
        <f t="shared" si="3"/>
        <v>50</v>
      </c>
      <c r="H116">
        <v>50</v>
      </c>
      <c r="I116">
        <v>13</v>
      </c>
      <c r="J116" s="9">
        <v>11.11111111</v>
      </c>
      <c r="K116">
        <v>100</v>
      </c>
    </row>
    <row r="117" spans="1:11">
      <c r="A117" s="1">
        <v>45916</v>
      </c>
      <c r="B117" t="s">
        <v>5</v>
      </c>
      <c r="C117">
        <v>100</v>
      </c>
      <c r="D117">
        <v>0</v>
      </c>
      <c r="E117">
        <v>0</v>
      </c>
      <c r="F117" s="5">
        <v>7.03</v>
      </c>
      <c r="G117">
        <f t="shared" si="3"/>
        <v>50</v>
      </c>
      <c r="H117">
        <v>50</v>
      </c>
      <c r="I117">
        <v>2</v>
      </c>
      <c r="J117" s="9">
        <v>5.6666666670000003</v>
      </c>
      <c r="K117">
        <v>0</v>
      </c>
    </row>
    <row r="118" spans="1:11">
      <c r="A118" s="1">
        <v>45917</v>
      </c>
      <c r="B118" t="s">
        <v>3</v>
      </c>
      <c r="C118">
        <v>0</v>
      </c>
      <c r="D118">
        <v>0</v>
      </c>
      <c r="E118">
        <v>0</v>
      </c>
      <c r="F118" s="5">
        <v>7.03</v>
      </c>
      <c r="G118">
        <f t="shared" si="3"/>
        <v>50</v>
      </c>
      <c r="H118">
        <v>50</v>
      </c>
      <c r="I118">
        <v>5</v>
      </c>
      <c r="J118" s="9">
        <v>8.4</v>
      </c>
      <c r="K118">
        <v>0</v>
      </c>
    </row>
    <row r="119" spans="1:11">
      <c r="A119" s="1">
        <v>45917</v>
      </c>
      <c r="B119" t="s">
        <v>4</v>
      </c>
      <c r="C119">
        <v>100</v>
      </c>
      <c r="D119">
        <v>0</v>
      </c>
      <c r="E119">
        <v>0</v>
      </c>
      <c r="F119" s="5">
        <v>7.03</v>
      </c>
      <c r="G119">
        <f t="shared" si="3"/>
        <v>50</v>
      </c>
      <c r="H119">
        <v>50</v>
      </c>
      <c r="I119">
        <v>8</v>
      </c>
      <c r="J119" s="9">
        <v>3.625</v>
      </c>
      <c r="K119">
        <v>100</v>
      </c>
    </row>
    <row r="120" spans="1:11">
      <c r="A120" s="1">
        <v>45917</v>
      </c>
      <c r="B120" t="s">
        <v>6</v>
      </c>
      <c r="C120">
        <v>0</v>
      </c>
      <c r="D120">
        <v>0</v>
      </c>
      <c r="E120">
        <v>0</v>
      </c>
      <c r="F120" s="5">
        <v>7.03</v>
      </c>
      <c r="G120">
        <f t="shared" si="3"/>
        <v>50</v>
      </c>
      <c r="H120">
        <v>50</v>
      </c>
      <c r="I120">
        <v>14</v>
      </c>
      <c r="J120" s="9">
        <v>11.11111111</v>
      </c>
      <c r="K120">
        <v>100</v>
      </c>
    </row>
    <row r="121" spans="1:11">
      <c r="A121" s="1">
        <v>45917</v>
      </c>
      <c r="B121" t="s">
        <v>5</v>
      </c>
      <c r="C121">
        <v>100</v>
      </c>
      <c r="D121">
        <v>0</v>
      </c>
      <c r="E121">
        <v>0</v>
      </c>
      <c r="F121" s="5">
        <v>7.03</v>
      </c>
      <c r="G121">
        <f t="shared" si="3"/>
        <v>50</v>
      </c>
      <c r="H121">
        <v>50</v>
      </c>
      <c r="I121">
        <v>1</v>
      </c>
      <c r="J121" s="9">
        <v>5.6666666670000003</v>
      </c>
      <c r="K121">
        <v>0</v>
      </c>
    </row>
    <row r="122" spans="1:11">
      <c r="A122" s="1">
        <v>45918</v>
      </c>
      <c r="B122" t="s">
        <v>3</v>
      </c>
      <c r="C122">
        <v>0</v>
      </c>
      <c r="D122">
        <v>0</v>
      </c>
      <c r="E122">
        <v>0</v>
      </c>
      <c r="F122" s="5">
        <v>7.03</v>
      </c>
      <c r="G122">
        <f t="shared" si="3"/>
        <v>50</v>
      </c>
      <c r="H122">
        <v>50</v>
      </c>
      <c r="I122">
        <v>3</v>
      </c>
      <c r="J122" s="9">
        <v>8.4</v>
      </c>
      <c r="K122">
        <v>0</v>
      </c>
    </row>
    <row r="123" spans="1:11">
      <c r="A123" s="1">
        <v>45918</v>
      </c>
      <c r="B123" t="s">
        <v>4</v>
      </c>
      <c r="C123">
        <v>0</v>
      </c>
      <c r="D123">
        <v>0</v>
      </c>
      <c r="E123">
        <v>0</v>
      </c>
      <c r="F123" s="5">
        <v>7.03</v>
      </c>
      <c r="G123">
        <f t="shared" si="3"/>
        <v>50</v>
      </c>
      <c r="H123">
        <v>50</v>
      </c>
      <c r="I123">
        <v>2</v>
      </c>
      <c r="J123" s="9">
        <v>3.625</v>
      </c>
      <c r="K123">
        <v>0</v>
      </c>
    </row>
    <row r="124" spans="1:11">
      <c r="A124" s="1">
        <v>45918</v>
      </c>
      <c r="B124" t="s">
        <v>6</v>
      </c>
      <c r="C124">
        <v>0</v>
      </c>
      <c r="D124">
        <v>0</v>
      </c>
      <c r="E124">
        <v>0</v>
      </c>
      <c r="F124" s="5">
        <v>7.03</v>
      </c>
      <c r="G124">
        <f t="shared" si="3"/>
        <v>50</v>
      </c>
      <c r="H124">
        <v>50</v>
      </c>
      <c r="I124">
        <v>14</v>
      </c>
      <c r="J124" s="9">
        <v>11.11111111</v>
      </c>
      <c r="K124">
        <v>100</v>
      </c>
    </row>
    <row r="125" spans="1:11">
      <c r="A125" s="1">
        <v>45918</v>
      </c>
      <c r="B125" t="s">
        <v>5</v>
      </c>
      <c r="C125">
        <v>100</v>
      </c>
      <c r="D125">
        <v>0</v>
      </c>
      <c r="E125">
        <v>0</v>
      </c>
      <c r="F125" s="5">
        <v>7.03</v>
      </c>
      <c r="G125">
        <f t="shared" si="3"/>
        <v>50</v>
      </c>
      <c r="H125">
        <v>50</v>
      </c>
      <c r="I125">
        <v>2</v>
      </c>
      <c r="J125" s="9">
        <v>5.6666666670000003</v>
      </c>
      <c r="K125">
        <v>0</v>
      </c>
    </row>
    <row r="126" spans="1:11">
      <c r="A126" s="1">
        <v>45919</v>
      </c>
      <c r="B126" t="s">
        <v>3</v>
      </c>
      <c r="C126">
        <v>0</v>
      </c>
      <c r="D126">
        <v>0</v>
      </c>
      <c r="E126">
        <v>0</v>
      </c>
      <c r="F126" s="5">
        <v>7.03</v>
      </c>
      <c r="G126">
        <f t="shared" si="3"/>
        <v>50</v>
      </c>
      <c r="H126">
        <v>50</v>
      </c>
      <c r="I126">
        <v>6</v>
      </c>
      <c r="J126" s="9">
        <v>8.4</v>
      </c>
      <c r="K126">
        <v>0</v>
      </c>
    </row>
    <row r="127" spans="1:11">
      <c r="A127" s="1">
        <v>45919</v>
      </c>
      <c r="B127" t="s">
        <v>4</v>
      </c>
      <c r="C127">
        <v>100</v>
      </c>
      <c r="D127">
        <v>0</v>
      </c>
      <c r="E127">
        <v>0</v>
      </c>
      <c r="F127" s="5">
        <v>7.03</v>
      </c>
      <c r="G127">
        <f t="shared" si="3"/>
        <v>50</v>
      </c>
      <c r="H127">
        <v>50</v>
      </c>
      <c r="I127">
        <v>3</v>
      </c>
      <c r="J127" s="9">
        <v>3.625</v>
      </c>
      <c r="K127">
        <v>0</v>
      </c>
    </row>
    <row r="128" spans="1:11">
      <c r="A128" s="1">
        <v>45919</v>
      </c>
      <c r="B128" t="s">
        <v>6</v>
      </c>
      <c r="C128">
        <v>0</v>
      </c>
      <c r="D128">
        <v>0</v>
      </c>
      <c r="E128">
        <v>0</v>
      </c>
      <c r="F128" s="5">
        <v>7.03</v>
      </c>
      <c r="G128">
        <f t="shared" si="3"/>
        <v>50</v>
      </c>
      <c r="H128">
        <v>50</v>
      </c>
      <c r="I128">
        <v>9</v>
      </c>
      <c r="J128" s="9">
        <v>11.11111111</v>
      </c>
      <c r="K128">
        <v>0</v>
      </c>
    </row>
    <row r="129" spans="1:11">
      <c r="A129" s="1">
        <v>45919</v>
      </c>
      <c r="B129" t="s">
        <v>5</v>
      </c>
      <c r="C129">
        <v>100</v>
      </c>
      <c r="D129">
        <v>0</v>
      </c>
      <c r="E129">
        <v>0</v>
      </c>
      <c r="F129" s="5">
        <v>7.03</v>
      </c>
      <c r="G129">
        <f t="shared" si="3"/>
        <v>50</v>
      </c>
      <c r="H129">
        <v>50</v>
      </c>
      <c r="I129">
        <v>0</v>
      </c>
      <c r="J129" s="9">
        <v>5.6666666670000003</v>
      </c>
      <c r="K129">
        <v>0</v>
      </c>
    </row>
    <row r="130" spans="1:11">
      <c r="A130" s="1">
        <v>45920</v>
      </c>
      <c r="B130" t="s">
        <v>3</v>
      </c>
      <c r="C130">
        <v>0</v>
      </c>
      <c r="D130">
        <v>0</v>
      </c>
      <c r="E130">
        <v>0</v>
      </c>
      <c r="F130" s="5">
        <v>7.03</v>
      </c>
      <c r="G130">
        <f t="shared" ref="G130:G138" si="4">IF(F130&lt;7.0501,50,0)</f>
        <v>50</v>
      </c>
      <c r="H130">
        <v>50</v>
      </c>
      <c r="I130">
        <v>3</v>
      </c>
      <c r="J130" s="9">
        <v>8.4</v>
      </c>
      <c r="K130">
        <v>0</v>
      </c>
    </row>
    <row r="131" spans="1:11">
      <c r="A131" s="1">
        <v>45920</v>
      </c>
      <c r="B131" t="s">
        <v>4</v>
      </c>
      <c r="C131">
        <v>0</v>
      </c>
      <c r="D131">
        <v>0</v>
      </c>
      <c r="E131">
        <v>0</v>
      </c>
      <c r="F131" s="5">
        <v>7.03</v>
      </c>
      <c r="G131">
        <f t="shared" si="4"/>
        <v>50</v>
      </c>
      <c r="H131">
        <v>50</v>
      </c>
      <c r="I131">
        <v>1</v>
      </c>
      <c r="J131" s="9">
        <v>3.625</v>
      </c>
      <c r="K131">
        <v>0</v>
      </c>
    </row>
    <row r="132" spans="1:11">
      <c r="A132" s="1">
        <v>45920</v>
      </c>
      <c r="B132" t="s">
        <v>6</v>
      </c>
      <c r="C132">
        <v>0</v>
      </c>
      <c r="D132">
        <v>0</v>
      </c>
      <c r="E132">
        <v>0</v>
      </c>
      <c r="F132" s="5">
        <v>7.03</v>
      </c>
      <c r="G132">
        <f t="shared" si="4"/>
        <v>50</v>
      </c>
      <c r="H132">
        <v>50</v>
      </c>
      <c r="I132">
        <v>24</v>
      </c>
      <c r="J132" s="9">
        <v>11.11111111</v>
      </c>
      <c r="K132">
        <v>100</v>
      </c>
    </row>
    <row r="133" spans="1:11">
      <c r="A133" s="1">
        <v>45920</v>
      </c>
      <c r="B133" t="s">
        <v>5</v>
      </c>
      <c r="C133">
        <v>100</v>
      </c>
      <c r="D133">
        <v>0</v>
      </c>
      <c r="E133">
        <v>0</v>
      </c>
      <c r="F133" s="5">
        <v>7.03</v>
      </c>
      <c r="G133">
        <f t="shared" si="4"/>
        <v>50</v>
      </c>
      <c r="H133">
        <v>50</v>
      </c>
      <c r="I133">
        <v>10</v>
      </c>
      <c r="J133" s="9">
        <v>5.6666666670000003</v>
      </c>
      <c r="K133">
        <v>100</v>
      </c>
    </row>
    <row r="134" spans="1:11">
      <c r="A134" s="1">
        <v>45921</v>
      </c>
      <c r="B134" t="s">
        <v>3</v>
      </c>
      <c r="C134">
        <v>0</v>
      </c>
      <c r="D134">
        <v>0</v>
      </c>
      <c r="E134">
        <v>0</v>
      </c>
      <c r="F134" s="5">
        <v>7.03</v>
      </c>
      <c r="G134">
        <f t="shared" si="4"/>
        <v>50</v>
      </c>
      <c r="H134">
        <v>50</v>
      </c>
      <c r="I134">
        <v>3</v>
      </c>
      <c r="J134" s="9">
        <v>8.4</v>
      </c>
      <c r="K134">
        <v>0</v>
      </c>
    </row>
    <row r="135" spans="1:11">
      <c r="A135" s="1">
        <v>45921</v>
      </c>
      <c r="B135" t="s">
        <v>4</v>
      </c>
      <c r="C135">
        <v>100</v>
      </c>
      <c r="D135">
        <v>0</v>
      </c>
      <c r="E135">
        <v>0</v>
      </c>
      <c r="F135" s="5">
        <v>7.03</v>
      </c>
      <c r="G135">
        <f t="shared" si="4"/>
        <v>50</v>
      </c>
      <c r="H135">
        <v>50</v>
      </c>
      <c r="I135">
        <v>0</v>
      </c>
      <c r="J135" s="9">
        <v>3.625</v>
      </c>
      <c r="K135">
        <v>0</v>
      </c>
    </row>
    <row r="136" spans="1:11">
      <c r="A136" s="1">
        <v>45921</v>
      </c>
      <c r="B136" t="s">
        <v>6</v>
      </c>
      <c r="C136">
        <v>0</v>
      </c>
      <c r="D136">
        <v>0</v>
      </c>
      <c r="E136">
        <v>0</v>
      </c>
      <c r="F136" s="5">
        <v>7.03</v>
      </c>
      <c r="G136">
        <f t="shared" si="4"/>
        <v>50</v>
      </c>
      <c r="H136">
        <v>50</v>
      </c>
      <c r="I136">
        <v>14</v>
      </c>
      <c r="J136" s="9">
        <v>11.11111111</v>
      </c>
      <c r="K136">
        <v>100</v>
      </c>
    </row>
    <row r="137" spans="1:11">
      <c r="A137" s="1">
        <v>45921</v>
      </c>
      <c r="B137" t="s">
        <v>5</v>
      </c>
      <c r="C137">
        <v>100</v>
      </c>
      <c r="D137">
        <v>0</v>
      </c>
      <c r="E137">
        <v>0</v>
      </c>
      <c r="F137" s="5">
        <v>7.16</v>
      </c>
      <c r="G137">
        <f t="shared" si="4"/>
        <v>0</v>
      </c>
      <c r="H137">
        <v>50</v>
      </c>
      <c r="I137">
        <v>13</v>
      </c>
      <c r="J137" s="9">
        <v>5.6666666670000003</v>
      </c>
      <c r="K137">
        <v>100</v>
      </c>
    </row>
    <row r="138" spans="1:11">
      <c r="A138" s="1">
        <v>45922</v>
      </c>
      <c r="B138" t="s">
        <v>3</v>
      </c>
      <c r="C138">
        <v>100</v>
      </c>
      <c r="D138">
        <v>0</v>
      </c>
      <c r="E138">
        <v>0</v>
      </c>
      <c r="F138" s="5">
        <v>7.03</v>
      </c>
      <c r="G138">
        <f t="shared" si="4"/>
        <v>50</v>
      </c>
      <c r="H138">
        <v>50</v>
      </c>
      <c r="I138">
        <v>4</v>
      </c>
      <c r="J138" s="9">
        <v>8.4</v>
      </c>
      <c r="K138">
        <f>IF(Tabela1[[#This Row],[QUANT CADASTROS]]&gt;Tabela1[[#This Row],[META CADASTRO]],100,0)</f>
        <v>0</v>
      </c>
    </row>
    <row r="139" spans="1:11">
      <c r="A139" s="1">
        <v>45922</v>
      </c>
      <c r="B139" t="s">
        <v>4</v>
      </c>
      <c r="C139">
        <v>100</v>
      </c>
      <c r="D139">
        <v>0</v>
      </c>
      <c r="E139">
        <v>0</v>
      </c>
      <c r="F139" s="5">
        <v>7.03</v>
      </c>
      <c r="G139">
        <f t="shared" ref="G139:G141" si="5">IF(F139&lt;7.0501,50,0)</f>
        <v>50</v>
      </c>
      <c r="H139">
        <v>50</v>
      </c>
      <c r="I139">
        <v>1</v>
      </c>
      <c r="J139" s="9">
        <v>3.625</v>
      </c>
      <c r="K139">
        <f>IF(Tabela1[[#This Row],[QUANT CADASTROS]]&gt;Tabela1[[#This Row],[META CADASTRO]],100,0)</f>
        <v>0</v>
      </c>
    </row>
    <row r="140" spans="1:11">
      <c r="A140" s="1">
        <v>45922</v>
      </c>
      <c r="B140" t="s">
        <v>6</v>
      </c>
      <c r="C140">
        <v>0</v>
      </c>
      <c r="D140">
        <v>0</v>
      </c>
      <c r="E140">
        <v>0</v>
      </c>
      <c r="F140" s="5">
        <v>7.03</v>
      </c>
      <c r="G140">
        <f t="shared" si="5"/>
        <v>50</v>
      </c>
      <c r="H140">
        <v>50</v>
      </c>
      <c r="I140">
        <v>10</v>
      </c>
      <c r="J140" s="9">
        <v>11.11111111</v>
      </c>
      <c r="K140">
        <f>IF(Tabela1[[#This Row],[QUANT CADASTROS]]&gt;Tabela1[[#This Row],[META CADASTRO]],100,0)</f>
        <v>0</v>
      </c>
    </row>
    <row r="141" spans="1:11">
      <c r="A141" s="1">
        <v>45922</v>
      </c>
      <c r="B141" t="s">
        <v>5</v>
      </c>
      <c r="C141">
        <v>0</v>
      </c>
      <c r="D141">
        <v>0</v>
      </c>
      <c r="E141">
        <v>0</v>
      </c>
      <c r="F141" s="5">
        <v>7.03</v>
      </c>
      <c r="G141">
        <f t="shared" si="5"/>
        <v>50</v>
      </c>
      <c r="H141">
        <v>50</v>
      </c>
      <c r="I141">
        <v>1</v>
      </c>
      <c r="J141" s="9">
        <v>5.6666666670000003</v>
      </c>
      <c r="K141">
        <f>IF(Tabela1[[#This Row],[QUANT CADASTROS]]&gt;Tabela1[[#This Row],[META CADASTRO]],100,0)</f>
        <v>0</v>
      </c>
    </row>
    <row r="142" spans="1:11">
      <c r="A142" s="1">
        <v>45923</v>
      </c>
      <c r="B142" t="s">
        <v>3</v>
      </c>
      <c r="C142">
        <v>0</v>
      </c>
      <c r="D142">
        <v>0</v>
      </c>
      <c r="E142">
        <v>0</v>
      </c>
      <c r="F142" s="5">
        <v>7.03</v>
      </c>
      <c r="G142">
        <f>IF(F142&lt;7.0501,50,0)</f>
        <v>50</v>
      </c>
      <c r="H142">
        <v>50</v>
      </c>
      <c r="I142">
        <v>0</v>
      </c>
      <c r="J142" s="9">
        <v>8.4</v>
      </c>
      <c r="K142">
        <f>IF(Tabela1[[#This Row],[QUANT CADASTROS]]&gt;Tabela1[[#This Row],[META CADASTRO]],100,0)</f>
        <v>0</v>
      </c>
    </row>
    <row r="143" spans="1:11">
      <c r="A143" s="1">
        <v>45923</v>
      </c>
      <c r="B143" t="s">
        <v>4</v>
      </c>
      <c r="C143">
        <v>0</v>
      </c>
      <c r="D143">
        <v>0</v>
      </c>
      <c r="E143">
        <v>0</v>
      </c>
      <c r="F143" s="5">
        <v>7.03</v>
      </c>
      <c r="G143">
        <f t="shared" ref="G143:G145" si="6">IF(F143&lt;7.0501,50,0)</f>
        <v>50</v>
      </c>
      <c r="H143">
        <v>50</v>
      </c>
      <c r="I143">
        <v>4</v>
      </c>
      <c r="J143" s="9">
        <v>3.625</v>
      </c>
      <c r="K143">
        <f>IF(Tabela1[[#This Row],[QUANT CADASTROS]]&gt;Tabela1[[#This Row],[META CADASTRO]],100,0)</f>
        <v>100</v>
      </c>
    </row>
    <row r="144" spans="1:11">
      <c r="A144" s="1">
        <v>45923</v>
      </c>
      <c r="B144" t="s">
        <v>6</v>
      </c>
      <c r="C144">
        <v>0</v>
      </c>
      <c r="D144">
        <v>0</v>
      </c>
      <c r="E144">
        <v>0</v>
      </c>
      <c r="F144" s="5">
        <v>7.03</v>
      </c>
      <c r="G144">
        <f t="shared" si="6"/>
        <v>50</v>
      </c>
      <c r="H144">
        <v>50</v>
      </c>
      <c r="I144">
        <v>5</v>
      </c>
      <c r="J144" s="9">
        <v>11.11111111</v>
      </c>
      <c r="K144">
        <f>IF(Tabela1[[#This Row],[QUANT CADASTROS]]&gt;Tabela1[[#This Row],[META CADASTRO]],100,0)</f>
        <v>0</v>
      </c>
    </row>
    <row r="145" spans="1:11">
      <c r="A145" s="1">
        <v>45923</v>
      </c>
      <c r="B145" t="s">
        <v>5</v>
      </c>
      <c r="C145">
        <v>100</v>
      </c>
      <c r="D145">
        <v>0</v>
      </c>
      <c r="E145">
        <v>0</v>
      </c>
      <c r="F145" s="5">
        <v>7.03</v>
      </c>
      <c r="G145">
        <f t="shared" si="6"/>
        <v>50</v>
      </c>
      <c r="H145">
        <v>50</v>
      </c>
      <c r="I145">
        <v>9</v>
      </c>
      <c r="J145" s="9">
        <v>5.6666666670000003</v>
      </c>
      <c r="K145">
        <f>IF(Tabela1[[#This Row],[QUANT CADASTROS]]&gt;Tabela1[[#This Row],[META CADASTRO]],100,0)</f>
        <v>100</v>
      </c>
    </row>
    <row r="146" spans="1:11">
      <c r="A146" s="1">
        <v>45924</v>
      </c>
      <c r="B146" t="s">
        <v>3</v>
      </c>
      <c r="C146">
        <v>0</v>
      </c>
      <c r="D146">
        <v>0</v>
      </c>
      <c r="E146">
        <v>0</v>
      </c>
      <c r="F146" s="5">
        <v>7.03</v>
      </c>
      <c r="G146">
        <f>IF(F146&lt;7.0501,50,0)</f>
        <v>50</v>
      </c>
      <c r="H146">
        <v>50</v>
      </c>
      <c r="I146">
        <v>13</v>
      </c>
      <c r="J146" s="9">
        <v>8.4</v>
      </c>
      <c r="K146">
        <f>IF(Tabela1[[#This Row],[QUANT CADASTROS]]&gt;Tabela1[[#This Row],[META CADASTRO]],100,0)</f>
        <v>100</v>
      </c>
    </row>
    <row r="147" spans="1:11">
      <c r="A147" s="1">
        <v>45924</v>
      </c>
      <c r="B147" t="s">
        <v>4</v>
      </c>
      <c r="C147">
        <v>0</v>
      </c>
      <c r="D147">
        <v>0</v>
      </c>
      <c r="E147">
        <v>0</v>
      </c>
      <c r="F147" s="5">
        <v>7.03</v>
      </c>
      <c r="G147">
        <f t="shared" ref="G147:G149" si="7">IF(F147&lt;7.0501,50,0)</f>
        <v>50</v>
      </c>
      <c r="H147">
        <v>50</v>
      </c>
      <c r="I147">
        <v>1</v>
      </c>
      <c r="J147" s="9">
        <v>3.625</v>
      </c>
      <c r="K147">
        <f>IF(Tabela1[[#This Row],[QUANT CADASTROS]]&gt;Tabela1[[#This Row],[META CADASTRO]],100,0)</f>
        <v>0</v>
      </c>
    </row>
    <row r="148" spans="1:11">
      <c r="A148" s="1">
        <v>45924</v>
      </c>
      <c r="B148" t="s">
        <v>6</v>
      </c>
      <c r="C148">
        <v>0</v>
      </c>
      <c r="D148">
        <v>0</v>
      </c>
      <c r="E148">
        <v>0</v>
      </c>
      <c r="F148" s="5">
        <v>7.03</v>
      </c>
      <c r="G148">
        <f t="shared" si="7"/>
        <v>50</v>
      </c>
      <c r="H148">
        <v>50</v>
      </c>
      <c r="I148">
        <v>16</v>
      </c>
      <c r="J148" s="9">
        <v>11.11111111</v>
      </c>
      <c r="K148">
        <f>IF(Tabela1[[#This Row],[QUANT CADASTROS]]&gt;Tabela1[[#This Row],[META CADASTRO]],100,0)</f>
        <v>100</v>
      </c>
    </row>
    <row r="149" spans="1:11">
      <c r="A149" s="1">
        <v>45924</v>
      </c>
      <c r="B149" t="s">
        <v>5</v>
      </c>
      <c r="C149">
        <v>100</v>
      </c>
      <c r="D149">
        <v>0</v>
      </c>
      <c r="E149">
        <v>0</v>
      </c>
      <c r="F149" s="5">
        <v>7.03</v>
      </c>
      <c r="G149">
        <f t="shared" si="7"/>
        <v>50</v>
      </c>
      <c r="H149">
        <v>50</v>
      </c>
      <c r="I149">
        <v>8</v>
      </c>
      <c r="J149" s="9">
        <v>5.6666666670000003</v>
      </c>
      <c r="K149">
        <f>IF(Tabela1[[#This Row],[QUANT CADASTROS]]&gt;Tabela1[[#This Row],[META CADASTRO]],100,0)</f>
        <v>100</v>
      </c>
    </row>
    <row r="150" spans="1:11">
      <c r="A150" s="1">
        <v>45925</v>
      </c>
      <c r="B150" t="s">
        <v>3</v>
      </c>
      <c r="C150">
        <v>0</v>
      </c>
      <c r="D150">
        <v>0</v>
      </c>
      <c r="E150">
        <v>0</v>
      </c>
      <c r="F150" s="5">
        <v>7.03</v>
      </c>
      <c r="G150">
        <f>IF(F150&lt;7.0501,50,0)</f>
        <v>50</v>
      </c>
      <c r="H150">
        <v>50</v>
      </c>
      <c r="I150">
        <v>9</v>
      </c>
      <c r="J150" s="9">
        <v>8.4</v>
      </c>
      <c r="K150">
        <f>IF(Tabela1[[#This Row],[QUANT CADASTROS]]&gt;Tabela1[[#This Row],[META CADASTRO]],100,0)</f>
        <v>100</v>
      </c>
    </row>
    <row r="151" spans="1:11">
      <c r="A151" s="1">
        <v>45925</v>
      </c>
      <c r="B151" t="s">
        <v>4</v>
      </c>
      <c r="C151">
        <v>0</v>
      </c>
      <c r="D151">
        <v>0</v>
      </c>
      <c r="E151">
        <v>0</v>
      </c>
      <c r="F151" s="5">
        <v>7.03</v>
      </c>
      <c r="G151">
        <f t="shared" ref="G151:G153" si="8">IF(F151&lt;7.0501,50,0)</f>
        <v>50</v>
      </c>
      <c r="H151">
        <v>50</v>
      </c>
      <c r="I151">
        <v>1</v>
      </c>
      <c r="J151" s="9">
        <v>3.625</v>
      </c>
      <c r="K151">
        <f>IF(Tabela1[[#This Row],[QUANT CADASTROS]]&gt;Tabela1[[#This Row],[META CADASTRO]],100,0)</f>
        <v>0</v>
      </c>
    </row>
    <row r="152" spans="1:11">
      <c r="A152" s="1">
        <v>45925</v>
      </c>
      <c r="B152" t="s">
        <v>6</v>
      </c>
      <c r="C152">
        <v>0</v>
      </c>
      <c r="D152">
        <v>0</v>
      </c>
      <c r="E152">
        <v>0</v>
      </c>
      <c r="F152" s="5">
        <v>7.03</v>
      </c>
      <c r="G152">
        <f t="shared" si="8"/>
        <v>50</v>
      </c>
      <c r="H152">
        <v>50</v>
      </c>
      <c r="I152">
        <v>14</v>
      </c>
      <c r="J152" s="9">
        <v>11.11111111</v>
      </c>
      <c r="K152">
        <f>IF(Tabela1[[#This Row],[QUANT CADASTROS]]&gt;Tabela1[[#This Row],[META CADASTRO]],100,0)</f>
        <v>100</v>
      </c>
    </row>
    <row r="153" spans="1:11">
      <c r="A153" s="1">
        <v>45925</v>
      </c>
      <c r="B153" t="s">
        <v>5</v>
      </c>
      <c r="C153">
        <v>100</v>
      </c>
      <c r="D153">
        <v>0</v>
      </c>
      <c r="E153">
        <v>0</v>
      </c>
      <c r="F153" s="5">
        <v>7.03</v>
      </c>
      <c r="G153">
        <f t="shared" si="8"/>
        <v>50</v>
      </c>
      <c r="H153">
        <v>50</v>
      </c>
      <c r="I153">
        <v>12</v>
      </c>
      <c r="J153" s="9">
        <v>5.6666666670000003</v>
      </c>
      <c r="K153">
        <f>IF(Tabela1[[#This Row],[QUANT CADASTROS]]&gt;Tabela1[[#This Row],[META CADASTRO]],100,0)</f>
        <v>100</v>
      </c>
    </row>
    <row r="154" spans="1:11">
      <c r="A154" s="1">
        <v>45926</v>
      </c>
      <c r="B154" t="s">
        <v>3</v>
      </c>
      <c r="C154">
        <v>0</v>
      </c>
      <c r="D154">
        <v>0</v>
      </c>
      <c r="E154">
        <v>0</v>
      </c>
      <c r="F154" s="5">
        <v>7.03</v>
      </c>
      <c r="G154">
        <f>IF(F154&lt;7.0501,50,0)</f>
        <v>50</v>
      </c>
      <c r="H154">
        <v>50</v>
      </c>
      <c r="I154">
        <v>9</v>
      </c>
      <c r="J154" s="9">
        <v>8.4</v>
      </c>
      <c r="K154">
        <f>IF(Tabela1[[#This Row],[QUANT CADASTROS]]&gt;Tabela1[[#This Row],[META CADASTRO]],100,0)</f>
        <v>100</v>
      </c>
    </row>
    <row r="155" spans="1:11">
      <c r="A155" s="1">
        <v>45926</v>
      </c>
      <c r="B155" t="s">
        <v>4</v>
      </c>
      <c r="C155">
        <v>0</v>
      </c>
      <c r="D155">
        <v>0</v>
      </c>
      <c r="E155">
        <v>0</v>
      </c>
      <c r="F155" s="5">
        <v>7.03</v>
      </c>
      <c r="G155">
        <f t="shared" ref="G155:G157" si="9">IF(F155&lt;7.0501,50,0)</f>
        <v>50</v>
      </c>
      <c r="H155">
        <v>50</v>
      </c>
      <c r="I155">
        <v>2</v>
      </c>
      <c r="J155" s="9">
        <v>3.625</v>
      </c>
      <c r="K155">
        <f>IF(Tabela1[[#This Row],[QUANT CADASTROS]]&gt;Tabela1[[#This Row],[META CADASTRO]],100,0)</f>
        <v>0</v>
      </c>
    </row>
    <row r="156" spans="1:11" ht="14.25" customHeight="1">
      <c r="A156" s="1">
        <v>45926</v>
      </c>
      <c r="B156" t="s">
        <v>6</v>
      </c>
      <c r="C156">
        <v>0</v>
      </c>
      <c r="D156">
        <v>0</v>
      </c>
      <c r="E156">
        <v>0</v>
      </c>
      <c r="F156" s="5">
        <v>7.03</v>
      </c>
      <c r="G156">
        <f t="shared" si="9"/>
        <v>50</v>
      </c>
      <c r="H156">
        <v>50</v>
      </c>
      <c r="I156">
        <v>2</v>
      </c>
      <c r="J156" s="9">
        <v>11.11111111</v>
      </c>
      <c r="K156">
        <f>IF(Tabela1[[#This Row],[QUANT CADASTROS]]&gt;Tabela1[[#This Row],[META CADASTRO]],100,0)</f>
        <v>0</v>
      </c>
    </row>
    <row r="157" spans="1:11">
      <c r="A157" s="1">
        <v>45926</v>
      </c>
      <c r="B157" t="s">
        <v>5</v>
      </c>
      <c r="C157">
        <v>100</v>
      </c>
      <c r="D157">
        <v>0</v>
      </c>
      <c r="E157">
        <v>0</v>
      </c>
      <c r="F157" s="5">
        <v>7.03</v>
      </c>
      <c r="G157">
        <f t="shared" si="9"/>
        <v>50</v>
      </c>
      <c r="H157">
        <v>50</v>
      </c>
      <c r="I157">
        <v>3</v>
      </c>
      <c r="J157" s="9">
        <v>5.6666666670000003</v>
      </c>
      <c r="K157">
        <f>IF(Tabela1[[#This Row],[QUANT CADASTROS]]&gt;Tabela1[[#This Row],[META CADASTRO]],100,0)</f>
        <v>0</v>
      </c>
    </row>
    <row r="158" spans="1:11">
      <c r="A158" s="1">
        <v>45927</v>
      </c>
      <c r="B158" t="s">
        <v>3</v>
      </c>
      <c r="C158">
        <v>100</v>
      </c>
      <c r="D158">
        <v>0</v>
      </c>
      <c r="E158">
        <v>0</v>
      </c>
      <c r="F158" s="5">
        <v>7.03</v>
      </c>
      <c r="G158">
        <f>IF(F158&lt;7.0501,50,0)</f>
        <v>50</v>
      </c>
      <c r="H158">
        <v>50</v>
      </c>
      <c r="I158">
        <v>16</v>
      </c>
      <c r="J158" s="9">
        <v>8.4</v>
      </c>
      <c r="K158">
        <f>IF(Tabela1[[#This Row],[QUANT CADASTROS]]&gt;Tabela1[[#This Row],[META CADASTRO]],100,0)</f>
        <v>100</v>
      </c>
    </row>
    <row r="159" spans="1:11">
      <c r="A159" s="1">
        <v>45927</v>
      </c>
      <c r="B159" t="s">
        <v>4</v>
      </c>
      <c r="C159">
        <v>100</v>
      </c>
      <c r="D159">
        <v>0</v>
      </c>
      <c r="E159">
        <v>0</v>
      </c>
      <c r="F159" s="5">
        <v>7.03</v>
      </c>
      <c r="G159">
        <f t="shared" ref="G159:G161" si="10">IF(F159&lt;7.0501,50,0)</f>
        <v>50</v>
      </c>
      <c r="H159">
        <v>50</v>
      </c>
      <c r="I159">
        <v>2</v>
      </c>
      <c r="J159" s="9">
        <v>3.625</v>
      </c>
      <c r="K159">
        <f>IF(Tabela1[[#This Row],[QUANT CADASTROS]]&gt;Tabela1[[#This Row],[META CADASTRO]],100,0)</f>
        <v>0</v>
      </c>
    </row>
    <row r="160" spans="1:11">
      <c r="A160" s="1">
        <v>45927</v>
      </c>
      <c r="B160" t="s">
        <v>6</v>
      </c>
      <c r="C160">
        <v>0</v>
      </c>
      <c r="D160">
        <v>0</v>
      </c>
      <c r="E160">
        <v>0</v>
      </c>
      <c r="F160" s="5">
        <v>7.03</v>
      </c>
      <c r="G160">
        <f t="shared" si="10"/>
        <v>50</v>
      </c>
      <c r="H160">
        <v>50</v>
      </c>
      <c r="I160">
        <v>21</v>
      </c>
      <c r="J160" s="9">
        <v>11.11111111</v>
      </c>
      <c r="K160">
        <f>IF(Tabela1[[#This Row],[QUANT CADASTROS]]&gt;Tabela1[[#This Row],[META CADASTRO]],100,0)</f>
        <v>100</v>
      </c>
    </row>
    <row r="161" spans="1:11">
      <c r="A161" s="1">
        <v>45927</v>
      </c>
      <c r="B161" t="s">
        <v>5</v>
      </c>
      <c r="C161">
        <v>100</v>
      </c>
      <c r="D161">
        <v>0</v>
      </c>
      <c r="E161">
        <v>0</v>
      </c>
      <c r="F161" s="5">
        <v>7.08</v>
      </c>
      <c r="G161">
        <f t="shared" si="10"/>
        <v>0</v>
      </c>
      <c r="H161">
        <v>50</v>
      </c>
      <c r="I161">
        <v>5</v>
      </c>
      <c r="J161" s="9">
        <v>5.6666666670000003</v>
      </c>
      <c r="K161">
        <f>IF(Tabela1[[#This Row],[QUANT CADASTROS]]&gt;Tabela1[[#This Row],[META CADASTRO]],100,0)</f>
        <v>0</v>
      </c>
    </row>
    <row r="162" spans="1:11">
      <c r="A162" s="1">
        <v>45928</v>
      </c>
      <c r="B162" t="s">
        <v>3</v>
      </c>
      <c r="C162">
        <v>100</v>
      </c>
      <c r="D162">
        <v>0</v>
      </c>
      <c r="E162">
        <v>0</v>
      </c>
      <c r="F162" s="5">
        <v>7.03</v>
      </c>
      <c r="G162">
        <f>IF(F162&lt;7.0501,50,0)</f>
        <v>50</v>
      </c>
      <c r="H162">
        <v>50</v>
      </c>
      <c r="I162">
        <v>29</v>
      </c>
      <c r="J162" s="9">
        <v>8.4</v>
      </c>
      <c r="K162">
        <f>IF(Tabela1[[#This Row],[QUANT CADASTROS]]&gt;Tabela1[[#This Row],[META CADASTRO]],100,0)</f>
        <v>100</v>
      </c>
    </row>
    <row r="163" spans="1:11">
      <c r="A163" s="1">
        <v>45928</v>
      </c>
      <c r="B163" t="s">
        <v>4</v>
      </c>
      <c r="C163">
        <v>100</v>
      </c>
      <c r="D163">
        <v>0</v>
      </c>
      <c r="E163">
        <v>0</v>
      </c>
      <c r="F163" s="5">
        <v>7.03</v>
      </c>
      <c r="G163">
        <f t="shared" ref="G163:G164" si="11">IF(F163&lt;7.0501,50,0)</f>
        <v>50</v>
      </c>
      <c r="H163">
        <v>50</v>
      </c>
      <c r="I163">
        <v>0</v>
      </c>
      <c r="J163" s="9">
        <v>3.625</v>
      </c>
      <c r="K163">
        <f>IF(Tabela1[[#This Row],[QUANT CADASTROS]]&gt;Tabela1[[#This Row],[META CADASTRO]],100,0)</f>
        <v>0</v>
      </c>
    </row>
    <row r="164" spans="1:11">
      <c r="A164" s="1">
        <v>45928</v>
      </c>
      <c r="B164" t="s">
        <v>6</v>
      </c>
      <c r="C164">
        <v>100</v>
      </c>
      <c r="D164">
        <v>0</v>
      </c>
      <c r="E164">
        <v>0</v>
      </c>
      <c r="F164" s="5">
        <v>7.03</v>
      </c>
      <c r="G164">
        <f t="shared" si="11"/>
        <v>50</v>
      </c>
      <c r="H164">
        <v>50</v>
      </c>
      <c r="I164">
        <v>12</v>
      </c>
      <c r="J164" s="9">
        <v>11.11111111</v>
      </c>
      <c r="K164">
        <f>IF(Tabela1[[#This Row],[QUANT CADASTROS]]&gt;Tabela1[[#This Row],[META CADASTRO]],100,0)</f>
        <v>100</v>
      </c>
    </row>
    <row r="165" spans="1:11">
      <c r="A165" s="1">
        <v>45928</v>
      </c>
      <c r="B165" t="s">
        <v>5</v>
      </c>
      <c r="C165">
        <v>100</v>
      </c>
      <c r="D165">
        <v>0</v>
      </c>
      <c r="E165">
        <v>0</v>
      </c>
      <c r="F165" s="5">
        <v>7.09</v>
      </c>
      <c r="G165">
        <f>IF(F165&lt;7.0501,50,0)</f>
        <v>0</v>
      </c>
      <c r="H165">
        <v>50</v>
      </c>
      <c r="I165">
        <v>4</v>
      </c>
      <c r="J165" s="9">
        <v>5.6666666670000003</v>
      </c>
      <c r="K165">
        <f>IF(Tabela1[[#This Row],[QUANT CADASTROS]]&gt;Tabela1[[#This Row],[META CADASTRO]],100,0)</f>
        <v>0</v>
      </c>
    </row>
    <row r="166" spans="1:11">
      <c r="A166" s="1">
        <v>45929</v>
      </c>
      <c r="B166" t="s">
        <v>3</v>
      </c>
      <c r="C166">
        <v>100</v>
      </c>
      <c r="D166">
        <v>0</v>
      </c>
      <c r="E166">
        <v>0</v>
      </c>
      <c r="F166" s="5">
        <v>7.03</v>
      </c>
      <c r="G166">
        <f>IF(F166&lt;7.0501,50,0)</f>
        <v>50</v>
      </c>
      <c r="H166">
        <v>50</v>
      </c>
      <c r="I166">
        <v>17</v>
      </c>
      <c r="J166" s="9">
        <v>8.4</v>
      </c>
      <c r="K166">
        <f>IF(Tabela1[[#This Row],[QUANT CADASTROS]]&gt;Tabela1[[#This Row],[META CADASTRO]],100,0)</f>
        <v>100</v>
      </c>
    </row>
    <row r="167" spans="1:11">
      <c r="A167" s="1">
        <v>45929</v>
      </c>
      <c r="B167" t="s">
        <v>4</v>
      </c>
      <c r="C167">
        <v>100</v>
      </c>
      <c r="D167">
        <v>0</v>
      </c>
      <c r="E167">
        <v>0</v>
      </c>
      <c r="F167" s="5">
        <v>7.03</v>
      </c>
      <c r="G167">
        <f t="shared" ref="G167:G169" si="12">IF(F167&lt;7.0501,50,0)</f>
        <v>50</v>
      </c>
      <c r="H167">
        <v>50</v>
      </c>
      <c r="I167">
        <v>4</v>
      </c>
      <c r="J167" s="9">
        <v>3.625</v>
      </c>
      <c r="K167">
        <f>IF(Tabela1[[#This Row],[QUANT CADASTROS]]&gt;Tabela1[[#This Row],[META CADASTRO]],100,0)</f>
        <v>100</v>
      </c>
    </row>
    <row r="168" spans="1:11">
      <c r="A168" s="1">
        <v>45929</v>
      </c>
      <c r="B168" t="s">
        <v>6</v>
      </c>
      <c r="C168">
        <v>100</v>
      </c>
      <c r="D168">
        <v>0</v>
      </c>
      <c r="E168">
        <v>0</v>
      </c>
      <c r="F168" s="5">
        <v>7.03</v>
      </c>
      <c r="G168">
        <f t="shared" si="12"/>
        <v>50</v>
      </c>
      <c r="H168">
        <v>50</v>
      </c>
      <c r="I168">
        <v>15</v>
      </c>
      <c r="J168" s="9">
        <v>11.11111111</v>
      </c>
      <c r="K168">
        <f>IF(Tabela1[[#This Row],[QUANT CADASTROS]]&gt;Tabela1[[#This Row],[META CADASTRO]],100,0)</f>
        <v>100</v>
      </c>
    </row>
    <row r="169" spans="1:11">
      <c r="A169" s="1">
        <v>45929</v>
      </c>
      <c r="B169" t="s">
        <v>5</v>
      </c>
      <c r="C169">
        <v>100</v>
      </c>
      <c r="D169">
        <v>0</v>
      </c>
      <c r="E169">
        <v>0</v>
      </c>
      <c r="F169" s="5">
        <v>7.03</v>
      </c>
      <c r="G169">
        <f t="shared" si="12"/>
        <v>50</v>
      </c>
      <c r="H169">
        <v>50</v>
      </c>
      <c r="I169">
        <v>0</v>
      </c>
      <c r="J169" s="9">
        <v>5.6666666670000003</v>
      </c>
      <c r="K169">
        <f>IF(Tabela1[[#This Row],[QUANT CADASTROS]]&gt;Tabela1[[#This Row],[META CADASTRO]],100,0)</f>
        <v>0</v>
      </c>
    </row>
    <row r="170" spans="1:11">
      <c r="A170" s="1">
        <v>45930</v>
      </c>
      <c r="B170" t="s">
        <v>3</v>
      </c>
      <c r="C170">
        <v>0</v>
      </c>
      <c r="D170">
        <v>0</v>
      </c>
      <c r="E170">
        <v>0</v>
      </c>
      <c r="F170" s="5">
        <v>7.03</v>
      </c>
      <c r="G170">
        <f>IF(F170&lt;7.0501,50,0)</f>
        <v>50</v>
      </c>
      <c r="H170">
        <v>50</v>
      </c>
      <c r="I170">
        <v>6</v>
      </c>
      <c r="J170" s="9">
        <v>8.4</v>
      </c>
      <c r="K170">
        <f>IF(Tabela1[[#This Row],[QUANT CADASTROS]]&gt;Tabela1[[#This Row],[META CADASTRO]],100,0)</f>
        <v>0</v>
      </c>
    </row>
    <row r="171" spans="1:11">
      <c r="A171" s="1">
        <v>45930</v>
      </c>
      <c r="B171" t="s">
        <v>4</v>
      </c>
      <c r="C171">
        <v>100</v>
      </c>
      <c r="D171">
        <v>0</v>
      </c>
      <c r="E171">
        <v>0</v>
      </c>
      <c r="F171" s="5">
        <v>7.03</v>
      </c>
      <c r="G171">
        <f t="shared" ref="G171:G173" si="13">IF(F171&lt;7.0501,50,0)</f>
        <v>50</v>
      </c>
      <c r="H171">
        <v>50</v>
      </c>
      <c r="I171">
        <v>2</v>
      </c>
      <c r="J171" s="9">
        <v>3.625</v>
      </c>
      <c r="K171">
        <f>IF(Tabela1[[#This Row],[QUANT CADASTROS]]&gt;Tabela1[[#This Row],[META CADASTRO]],100,0)</f>
        <v>0</v>
      </c>
    </row>
    <row r="172" spans="1:11">
      <c r="A172" s="1">
        <v>45930</v>
      </c>
      <c r="B172" t="s">
        <v>6</v>
      </c>
      <c r="C172">
        <v>100</v>
      </c>
      <c r="D172">
        <v>0</v>
      </c>
      <c r="E172">
        <v>0</v>
      </c>
      <c r="F172" s="5">
        <v>7.03</v>
      </c>
      <c r="G172">
        <f t="shared" si="13"/>
        <v>50</v>
      </c>
      <c r="H172">
        <v>50</v>
      </c>
      <c r="I172">
        <v>10</v>
      </c>
      <c r="J172" s="9">
        <v>11.11111111</v>
      </c>
      <c r="K172">
        <f>IF(Tabela1[[#This Row],[QUANT CADASTROS]]&gt;Tabela1[[#This Row],[META CADASTRO]],100,0)</f>
        <v>0</v>
      </c>
    </row>
    <row r="173" spans="1:11">
      <c r="A173" s="1">
        <v>45930</v>
      </c>
      <c r="B173" t="s">
        <v>5</v>
      </c>
      <c r="C173">
        <v>100</v>
      </c>
      <c r="D173">
        <v>0</v>
      </c>
      <c r="E173">
        <v>0</v>
      </c>
      <c r="F173" s="5">
        <v>7.03</v>
      </c>
      <c r="G173">
        <f t="shared" si="13"/>
        <v>50</v>
      </c>
      <c r="H173">
        <v>50</v>
      </c>
      <c r="I173">
        <v>0</v>
      </c>
      <c r="J173" s="9">
        <v>5.6666666670000003</v>
      </c>
      <c r="K173">
        <f>IF(Tabela1[[#This Row],[QUANT CADASTROS]]&gt;Tabela1[[#This Row],[META CADASTRO]],100,0)</f>
        <v>0</v>
      </c>
    </row>
    <row r="174" spans="1:11">
      <c r="A174" s="1">
        <v>45931</v>
      </c>
      <c r="B174" t="s">
        <v>3</v>
      </c>
      <c r="C174">
        <v>0</v>
      </c>
      <c r="D174">
        <v>0</v>
      </c>
      <c r="E174">
        <v>0</v>
      </c>
      <c r="F174" s="5">
        <v>7.03</v>
      </c>
      <c r="G174" s="18">
        <f>IF(F174&lt;7.0501,50,0)</f>
        <v>50</v>
      </c>
      <c r="H174">
        <v>50</v>
      </c>
      <c r="I174">
        <v>0</v>
      </c>
      <c r="J174" s="9">
        <v>8.4</v>
      </c>
      <c r="K174">
        <f>IF(Tabela1[[#This Row],[QUANT CADASTROS]]&gt;Tabela1[[#This Row],[META CADASTRO]],100,0)</f>
        <v>0</v>
      </c>
    </row>
    <row r="175" spans="1:11">
      <c r="A175" s="1">
        <v>45931</v>
      </c>
      <c r="B175" t="s">
        <v>4</v>
      </c>
      <c r="C175">
        <v>0</v>
      </c>
      <c r="D175">
        <v>0</v>
      </c>
      <c r="E175">
        <v>0</v>
      </c>
      <c r="F175" s="5">
        <v>7.03</v>
      </c>
      <c r="G175" s="18">
        <f t="shared" ref="G175:G177" si="14">IF(F175&lt;7.0501,50,0)</f>
        <v>50</v>
      </c>
      <c r="H175">
        <v>50</v>
      </c>
      <c r="I175">
        <v>0</v>
      </c>
      <c r="J175" s="9">
        <v>3.625</v>
      </c>
      <c r="K175">
        <f>IF(Tabela1[[#This Row],[QUANT CADASTROS]]&gt;Tabela1[[#This Row],[META CADASTRO]],100,0)</f>
        <v>0</v>
      </c>
    </row>
    <row r="176" spans="1:11">
      <c r="A176" s="1">
        <v>45931</v>
      </c>
      <c r="B176" t="s">
        <v>6</v>
      </c>
      <c r="C176">
        <v>0</v>
      </c>
      <c r="D176">
        <v>0</v>
      </c>
      <c r="E176">
        <v>0</v>
      </c>
      <c r="F176" s="5">
        <v>7.03</v>
      </c>
      <c r="G176" s="18">
        <f t="shared" si="14"/>
        <v>50</v>
      </c>
      <c r="H176">
        <v>50</v>
      </c>
      <c r="I176">
        <v>7</v>
      </c>
      <c r="J176" s="9">
        <v>11.11111111</v>
      </c>
      <c r="K176">
        <f>IF(Tabela1[[#This Row],[QUANT CADASTROS]]&gt;Tabela1[[#This Row],[META CADASTRO]],100,0)</f>
        <v>0</v>
      </c>
    </row>
    <row r="177" spans="1:11">
      <c r="A177" s="1">
        <v>45931</v>
      </c>
      <c r="B177" t="s">
        <v>5</v>
      </c>
      <c r="C177">
        <v>0</v>
      </c>
      <c r="D177">
        <v>0</v>
      </c>
      <c r="E177">
        <v>0</v>
      </c>
      <c r="F177" s="5">
        <v>7.03</v>
      </c>
      <c r="G177" s="18">
        <f t="shared" si="14"/>
        <v>50</v>
      </c>
      <c r="H177">
        <v>50</v>
      </c>
      <c r="I177">
        <v>4</v>
      </c>
      <c r="J177" s="9">
        <v>5.6666666670000003</v>
      </c>
      <c r="K177">
        <f>IF(Tabela1[[#This Row],[QUANT CADASTROS]]&gt;Tabela1[[#This Row],[META CADASTRO]],100,0)</f>
        <v>0</v>
      </c>
    </row>
    <row r="178" spans="1:11">
      <c r="A178" s="1">
        <v>45932</v>
      </c>
      <c r="B178" t="s">
        <v>3</v>
      </c>
      <c r="C178">
        <v>100</v>
      </c>
      <c r="D178">
        <v>0</v>
      </c>
      <c r="E178">
        <v>0</v>
      </c>
      <c r="F178" s="5">
        <v>7.03</v>
      </c>
      <c r="G178" s="18">
        <f>IF(F178&lt;7.0501,50,0)</f>
        <v>50</v>
      </c>
      <c r="H178">
        <v>50</v>
      </c>
      <c r="I178">
        <v>20</v>
      </c>
      <c r="J178" s="9">
        <v>8.4</v>
      </c>
      <c r="K178">
        <f>IF(Tabela1[[#This Row],[QUANT CADASTROS]]&gt;Tabela1[[#This Row],[META CADASTRO]],100,0)</f>
        <v>100</v>
      </c>
    </row>
    <row r="179" spans="1:11">
      <c r="A179" s="1">
        <v>45932</v>
      </c>
      <c r="B179" t="s">
        <v>4</v>
      </c>
      <c r="C179">
        <v>0</v>
      </c>
      <c r="D179">
        <v>0</v>
      </c>
      <c r="E179">
        <v>0</v>
      </c>
      <c r="F179" s="5">
        <v>7.03</v>
      </c>
      <c r="G179" s="18">
        <f t="shared" ref="G179:G181" si="15">IF(F179&lt;7.0501,50,0)</f>
        <v>50</v>
      </c>
      <c r="H179">
        <v>50</v>
      </c>
      <c r="I179">
        <v>1</v>
      </c>
      <c r="J179" s="9">
        <v>3.625</v>
      </c>
      <c r="K179">
        <f>IF(Tabela1[[#This Row],[QUANT CADASTROS]]&gt;Tabela1[[#This Row],[META CADASTRO]],100,0)</f>
        <v>0</v>
      </c>
    </row>
    <row r="180" spans="1:11">
      <c r="A180" s="1">
        <v>45932</v>
      </c>
      <c r="B180" t="s">
        <v>6</v>
      </c>
      <c r="C180">
        <v>0</v>
      </c>
      <c r="D180">
        <v>0</v>
      </c>
      <c r="E180">
        <v>0</v>
      </c>
      <c r="F180" s="5">
        <v>7.03</v>
      </c>
      <c r="G180" s="18">
        <f t="shared" si="15"/>
        <v>50</v>
      </c>
      <c r="H180">
        <v>50</v>
      </c>
      <c r="I180">
        <v>2</v>
      </c>
      <c r="J180" s="9">
        <v>11.11111111</v>
      </c>
      <c r="K180">
        <f>IF(Tabela1[[#This Row],[QUANT CADASTROS]]&gt;Tabela1[[#This Row],[META CADASTRO]],100,0)</f>
        <v>0</v>
      </c>
    </row>
    <row r="181" spans="1:11">
      <c r="A181" s="1">
        <v>45932</v>
      </c>
      <c r="B181" t="s">
        <v>5</v>
      </c>
      <c r="C181">
        <v>0</v>
      </c>
      <c r="D181">
        <v>0</v>
      </c>
      <c r="E181">
        <v>0</v>
      </c>
      <c r="F181" s="5">
        <v>7.03</v>
      </c>
      <c r="G181" s="18">
        <f t="shared" si="15"/>
        <v>50</v>
      </c>
      <c r="H181">
        <v>50</v>
      </c>
      <c r="I181">
        <v>4</v>
      </c>
      <c r="J181" s="9">
        <v>5.6666666670000003</v>
      </c>
      <c r="K181">
        <f>IF(Tabela1[[#This Row],[QUANT CADASTROS]]&gt;Tabela1[[#This Row],[META CADASTRO]],100,0)</f>
        <v>0</v>
      </c>
    </row>
    <row r="182" spans="1:11">
      <c r="A182" s="1">
        <v>45933</v>
      </c>
      <c r="B182" t="s">
        <v>3</v>
      </c>
      <c r="D182">
        <v>0</v>
      </c>
      <c r="E182">
        <v>0</v>
      </c>
      <c r="F182" s="5">
        <v>7.03</v>
      </c>
      <c r="G182" s="18">
        <f>IF(F182&lt;7.0501,50,0)</f>
        <v>50</v>
      </c>
      <c r="H182">
        <v>50</v>
      </c>
    </row>
    <row r="183" spans="1:11">
      <c r="A183" s="1">
        <v>45933</v>
      </c>
      <c r="B183" t="s">
        <v>4</v>
      </c>
      <c r="D183">
        <v>0</v>
      </c>
      <c r="E183">
        <v>0</v>
      </c>
      <c r="F183" s="5">
        <v>7.03</v>
      </c>
      <c r="G183" s="18">
        <f t="shared" ref="G183:G184" si="16">IF(F183&lt;7.0501,50,0)</f>
        <v>50</v>
      </c>
      <c r="H183">
        <v>50</v>
      </c>
    </row>
    <row r="184" spans="1:11">
      <c r="A184" s="1">
        <v>45933</v>
      </c>
      <c r="B184" t="s">
        <v>6</v>
      </c>
      <c r="D184">
        <v>0</v>
      </c>
      <c r="E184">
        <v>0</v>
      </c>
      <c r="F184" s="5">
        <v>7.03</v>
      </c>
      <c r="G184" s="18">
        <f t="shared" si="16"/>
        <v>50</v>
      </c>
      <c r="H184">
        <v>50</v>
      </c>
    </row>
    <row r="185" spans="1:11">
      <c r="A185" s="1">
        <v>45933</v>
      </c>
      <c r="B185" t="s">
        <v>5</v>
      </c>
      <c r="D185">
        <v>0</v>
      </c>
      <c r="E185">
        <v>0</v>
      </c>
      <c r="F185" s="5">
        <v>7.03</v>
      </c>
      <c r="G185" s="18">
        <f>IF(F185&lt;7.0501,50,0)</f>
        <v>50</v>
      </c>
      <c r="H185">
        <v>50</v>
      </c>
    </row>
    <row r="186" spans="1:11">
      <c r="A186" s="1">
        <v>45934</v>
      </c>
      <c r="B186" t="s">
        <v>3</v>
      </c>
      <c r="D186">
        <v>0</v>
      </c>
      <c r="E186">
        <v>0</v>
      </c>
      <c r="F186" s="5">
        <v>7.03</v>
      </c>
      <c r="G186" s="18">
        <f>IF(F186&lt;7.0501,50,0)</f>
        <v>50</v>
      </c>
      <c r="H186">
        <v>50</v>
      </c>
    </row>
    <row r="187" spans="1:11">
      <c r="A187" s="1">
        <v>45934</v>
      </c>
      <c r="B187" t="s">
        <v>4</v>
      </c>
      <c r="D187">
        <v>0</v>
      </c>
      <c r="E187">
        <v>0</v>
      </c>
      <c r="F187" s="5">
        <v>7.03</v>
      </c>
      <c r="G187" s="18">
        <f t="shared" ref="G187:G189" si="17">IF(F187&lt;7.0501,50,0)</f>
        <v>50</v>
      </c>
      <c r="H187">
        <v>50</v>
      </c>
    </row>
    <row r="188" spans="1:11">
      <c r="A188" s="1">
        <v>45934</v>
      </c>
      <c r="B188" t="s">
        <v>6</v>
      </c>
      <c r="D188">
        <v>0</v>
      </c>
      <c r="E188">
        <v>0</v>
      </c>
      <c r="F188" s="5">
        <v>7.03</v>
      </c>
      <c r="G188" s="18">
        <f t="shared" si="17"/>
        <v>50</v>
      </c>
      <c r="H188">
        <v>50</v>
      </c>
    </row>
    <row r="189" spans="1:11">
      <c r="A189" s="1">
        <v>45934</v>
      </c>
      <c r="B189" t="s">
        <v>5</v>
      </c>
      <c r="D189">
        <v>0</v>
      </c>
      <c r="E189">
        <v>0</v>
      </c>
      <c r="F189" s="5">
        <v>7.03</v>
      </c>
      <c r="G189" s="18">
        <f t="shared" si="17"/>
        <v>50</v>
      </c>
      <c r="H189">
        <v>50</v>
      </c>
    </row>
    <row r="190" spans="1:11">
      <c r="A190" s="1">
        <v>45935</v>
      </c>
      <c r="B190" t="s">
        <v>3</v>
      </c>
      <c r="D190">
        <v>0</v>
      </c>
      <c r="E190">
        <v>0</v>
      </c>
      <c r="F190" s="5">
        <v>7.03</v>
      </c>
      <c r="G190" s="18">
        <f>IF(F190&lt;7.0501,50,0)</f>
        <v>50</v>
      </c>
      <c r="H190">
        <v>50</v>
      </c>
    </row>
    <row r="191" spans="1:11">
      <c r="A191" s="1">
        <v>45935</v>
      </c>
      <c r="B191" t="s">
        <v>4</v>
      </c>
      <c r="D191">
        <v>0</v>
      </c>
      <c r="E191">
        <v>0</v>
      </c>
      <c r="F191" s="5">
        <v>7.03</v>
      </c>
      <c r="G191" s="18">
        <f t="shared" ref="G191:G193" si="18">IF(F191&lt;7.0501,50,0)</f>
        <v>50</v>
      </c>
      <c r="H191">
        <v>50</v>
      </c>
    </row>
    <row r="192" spans="1:11">
      <c r="A192" s="1">
        <v>45935</v>
      </c>
      <c r="B192" t="s">
        <v>6</v>
      </c>
      <c r="D192">
        <v>0</v>
      </c>
      <c r="E192">
        <v>0</v>
      </c>
      <c r="F192" s="5">
        <v>7.03</v>
      </c>
      <c r="G192" s="18">
        <f t="shared" si="18"/>
        <v>50</v>
      </c>
      <c r="H192">
        <v>50</v>
      </c>
    </row>
    <row r="193" spans="1:8">
      <c r="A193" s="1">
        <v>45935</v>
      </c>
      <c r="B193" t="s">
        <v>5</v>
      </c>
      <c r="D193">
        <v>0</v>
      </c>
      <c r="E193">
        <v>0</v>
      </c>
      <c r="F193" s="5">
        <v>7.03</v>
      </c>
      <c r="G193" s="18">
        <f t="shared" si="18"/>
        <v>50</v>
      </c>
      <c r="H193">
        <v>50</v>
      </c>
    </row>
    <row r="194" spans="1:8">
      <c r="A194" s="1">
        <v>45936</v>
      </c>
      <c r="B194" t="s">
        <v>3</v>
      </c>
      <c r="D194">
        <v>0</v>
      </c>
      <c r="E194">
        <v>0</v>
      </c>
      <c r="F194" s="5">
        <v>7.03</v>
      </c>
      <c r="G194" s="18">
        <f>IF(F194&lt;7.0501,50,0)</f>
        <v>50</v>
      </c>
      <c r="H194">
        <v>50</v>
      </c>
    </row>
    <row r="195" spans="1:8">
      <c r="A195" s="1">
        <v>45936</v>
      </c>
      <c r="B195" t="s">
        <v>4</v>
      </c>
      <c r="D195">
        <v>0</v>
      </c>
      <c r="E195">
        <v>0</v>
      </c>
      <c r="F195" s="5">
        <v>7.03</v>
      </c>
      <c r="G195" s="18">
        <f t="shared" ref="G195:G197" si="19">IF(F195&lt;7.0501,50,0)</f>
        <v>50</v>
      </c>
      <c r="H195">
        <v>50</v>
      </c>
    </row>
    <row r="196" spans="1:8">
      <c r="A196" s="1">
        <v>45936</v>
      </c>
      <c r="B196" t="s">
        <v>6</v>
      </c>
      <c r="D196">
        <v>0</v>
      </c>
      <c r="E196">
        <v>0</v>
      </c>
      <c r="F196" s="5">
        <v>7.03</v>
      </c>
      <c r="G196" s="18">
        <f t="shared" si="19"/>
        <v>50</v>
      </c>
      <c r="H196">
        <v>50</v>
      </c>
    </row>
    <row r="197" spans="1:8">
      <c r="A197" s="1">
        <v>45936</v>
      </c>
      <c r="B197" t="s">
        <v>5</v>
      </c>
      <c r="D197">
        <v>0</v>
      </c>
      <c r="E197">
        <v>0</v>
      </c>
      <c r="F197" s="5">
        <v>7.03</v>
      </c>
      <c r="G197" s="18">
        <f t="shared" si="19"/>
        <v>50</v>
      </c>
      <c r="H197">
        <v>50</v>
      </c>
    </row>
    <row r="198" spans="1:8">
      <c r="A198" s="1">
        <v>45937</v>
      </c>
      <c r="B198" t="s">
        <v>3</v>
      </c>
      <c r="D198">
        <v>0</v>
      </c>
      <c r="E198">
        <v>0</v>
      </c>
      <c r="F198" s="5">
        <v>7.03</v>
      </c>
      <c r="G198" s="18">
        <f>IF(F198&lt;7.0501,50,0)</f>
        <v>50</v>
      </c>
      <c r="H198">
        <v>50</v>
      </c>
    </row>
    <row r="199" spans="1:8">
      <c r="A199" s="1">
        <v>45937</v>
      </c>
      <c r="B199" t="s">
        <v>4</v>
      </c>
      <c r="D199">
        <v>0</v>
      </c>
      <c r="E199">
        <v>0</v>
      </c>
      <c r="F199" s="5">
        <v>7.03</v>
      </c>
      <c r="G199" s="18">
        <f t="shared" ref="G199:G201" si="20">IF(F199&lt;7.0501,50,0)</f>
        <v>50</v>
      </c>
      <c r="H199">
        <v>50</v>
      </c>
    </row>
    <row r="200" spans="1:8">
      <c r="A200" s="1">
        <v>45937</v>
      </c>
      <c r="B200" t="s">
        <v>6</v>
      </c>
      <c r="D200">
        <v>0</v>
      </c>
      <c r="E200">
        <v>0</v>
      </c>
      <c r="F200" s="5">
        <v>7.03</v>
      </c>
      <c r="G200" s="18">
        <f t="shared" si="20"/>
        <v>50</v>
      </c>
      <c r="H200">
        <v>50</v>
      </c>
    </row>
    <row r="201" spans="1:8">
      <c r="A201" s="1">
        <v>45937</v>
      </c>
      <c r="B201" t="s">
        <v>5</v>
      </c>
      <c r="D201">
        <v>0</v>
      </c>
      <c r="E201">
        <v>0</v>
      </c>
      <c r="F201" s="5">
        <v>7.03</v>
      </c>
      <c r="G201" s="18">
        <f t="shared" si="20"/>
        <v>50</v>
      </c>
      <c r="H201">
        <v>50</v>
      </c>
    </row>
    <row r="202" spans="1:8">
      <c r="A202" s="1">
        <v>45938</v>
      </c>
      <c r="B202" t="s">
        <v>3</v>
      </c>
      <c r="D202">
        <v>0</v>
      </c>
      <c r="E202">
        <v>0</v>
      </c>
      <c r="F202" s="5">
        <v>7.03</v>
      </c>
      <c r="G202" s="18">
        <f>IF(F202&lt;7.0501,50,0)</f>
        <v>50</v>
      </c>
      <c r="H202">
        <v>50</v>
      </c>
    </row>
    <row r="203" spans="1:8">
      <c r="A203" s="1">
        <v>45938</v>
      </c>
      <c r="B203" t="s">
        <v>4</v>
      </c>
      <c r="D203">
        <v>0</v>
      </c>
      <c r="E203">
        <v>0</v>
      </c>
      <c r="F203" s="5">
        <v>7.03</v>
      </c>
      <c r="G203" s="18">
        <f t="shared" ref="G203:G205" si="21">IF(F203&lt;7.0501,50,0)</f>
        <v>50</v>
      </c>
      <c r="H203">
        <v>50</v>
      </c>
    </row>
    <row r="204" spans="1:8">
      <c r="A204" s="1">
        <v>45938</v>
      </c>
      <c r="B204" t="s">
        <v>6</v>
      </c>
      <c r="D204">
        <v>0</v>
      </c>
      <c r="E204">
        <v>0</v>
      </c>
      <c r="F204" s="5">
        <v>7.03</v>
      </c>
      <c r="G204" s="18">
        <f t="shared" si="21"/>
        <v>50</v>
      </c>
      <c r="H204">
        <v>50</v>
      </c>
    </row>
    <row r="205" spans="1:8">
      <c r="A205" s="1">
        <v>45938</v>
      </c>
      <c r="B205" t="s">
        <v>5</v>
      </c>
      <c r="D205">
        <v>0</v>
      </c>
      <c r="E205">
        <v>0</v>
      </c>
      <c r="F205" s="5">
        <v>7.03</v>
      </c>
      <c r="G205" s="18">
        <f t="shared" si="21"/>
        <v>50</v>
      </c>
      <c r="H205">
        <v>50</v>
      </c>
    </row>
  </sheetData>
  <mergeCells count="1">
    <mergeCell ref="M1:N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8FCB-02AD-4E1C-B909-2BD72C410856}">
  <dimension ref="A1"/>
  <sheetViews>
    <sheetView workbookViewId="0">
      <selection activeCell="H19" sqref="H19"/>
    </sheetView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</vt:lpstr>
      <vt:lpstr>PLANILHA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Gabriel</dc:creator>
  <cp:lastModifiedBy>João Gabriel</cp:lastModifiedBy>
  <dcterms:created xsi:type="dcterms:W3CDTF">2015-06-05T18:19:34Z</dcterms:created>
  <dcterms:modified xsi:type="dcterms:W3CDTF">2026-03-08T20:29:19Z</dcterms:modified>
</cp:coreProperties>
</file>